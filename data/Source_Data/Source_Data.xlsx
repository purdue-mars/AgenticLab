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dave_guo/Desktop/Projects/AgenticLab/Paper NC/data availability/"/>
    </mc:Choice>
  </mc:AlternateContent>
  <xr:revisionPtr revIDLastSave="0" documentId="13_ncr:1_{36235CA0-090B-9643-A224-CC94B8CE14CE}" xr6:coauthVersionLast="47" xr6:coauthVersionMax="47" xr10:uidLastSave="{00000000-0000-0000-0000-000000000000}"/>
  <bookViews>
    <workbookView xWindow="-9100" yWindow="-28800" windowWidth="51200" windowHeight="28800" xr2:uid="{00000000-000D-0000-FFFF-FFFF00000000}"/>
  </bookViews>
  <sheets>
    <sheet name="Fig. 2" sheetId="6" r:id="rId1"/>
    <sheet name="Fig. 3" sheetId="7" r:id="rId2"/>
    <sheet name="Table. 1" sheetId="8" r:id="rId3"/>
    <sheet name="Fig. 4a" sheetId="10" r:id="rId4"/>
    <sheet name="Fig. 4b" sheetId="11" r:id="rId5"/>
    <sheet name="Fig. 4c" sheetId="12" r:id="rId6"/>
    <sheet name="Fig. 5a" sheetId="13" r:id="rId7"/>
    <sheet name="Fig. 5b" sheetId="1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pnZ1ep2xw/cJ/6Dh8rxFW9dG8pWK6urOMR89ChIl/kA="/>
    </ext>
  </extLst>
</workbook>
</file>

<file path=xl/calcChain.xml><?xml version="1.0" encoding="utf-8"?>
<calcChain xmlns="http://schemas.openxmlformats.org/spreadsheetml/2006/main">
  <c r="AT27" i="7" l="1"/>
  <c r="AS27" i="7"/>
  <c r="AR27" i="7"/>
  <c r="AQ27" i="7"/>
  <c r="AU27" i="7"/>
  <c r="AV27" i="7"/>
  <c r="AW27" i="7"/>
  <c r="AX27" i="7"/>
  <c r="AP27" i="7"/>
  <c r="AX19" i="7"/>
  <c r="H4" i="6"/>
</calcChain>
</file>

<file path=xl/sharedStrings.xml><?xml version="1.0" encoding="utf-8"?>
<sst xmlns="http://schemas.openxmlformats.org/spreadsheetml/2006/main" count="5424" uniqueCount="331">
  <si>
    <t>sort1</t>
  </si>
  <si>
    <t>Model</t>
  </si>
  <si>
    <t>Task Parser</t>
  </si>
  <si>
    <t>Object Detector</t>
  </si>
  <si>
    <t>sort2</t>
  </si>
  <si>
    <t>Gemini 3 Flash</t>
  </si>
  <si>
    <t>N/A</t>
  </si>
  <si>
    <t>"Sort the fruits in the white bin and other objects in the blue bin"</t>
  </si>
  <si>
    <t>sort3</t>
  </si>
  <si>
    <t>"I'm hungry. Grab the edible stuff to the bowl"</t>
  </si>
  <si>
    <t>Gemini Flash</t>
  </si>
  <si>
    <t>Gemini Pro</t>
  </si>
  <si>
    <t>stack1</t>
  </si>
  <si>
    <t>Gemini Pro + LangSam</t>
  </si>
  <si>
    <t>Gemini Robotics</t>
  </si>
  <si>
    <t>Qwen vl max</t>
  </si>
  <si>
    <t>Qwen3 VL Plus</t>
  </si>
  <si>
    <t>GPT5.2+LangSam</t>
  </si>
  <si>
    <t>GPT4o+LangSam</t>
  </si>
  <si>
    <t>Success</t>
  </si>
  <si>
    <t>stack2</t>
  </si>
  <si>
    <t>Grasp Obj Fail</t>
  </si>
  <si>
    <t>Obj Detection Fail</t>
  </si>
  <si>
    <t>stack3</t>
  </si>
  <si>
    <t>Action Checker Fail</t>
  </si>
  <si>
    <t xml:space="preserve">Wrong Place Point </t>
  </si>
  <si>
    <t>crossword1</t>
  </si>
  <si>
    <t>crossword2</t>
  </si>
  <si>
    <t>crossword3</t>
  </si>
  <si>
    <t>kitchen1</t>
  </si>
  <si>
    <t>kitchen2</t>
  </si>
  <si>
    <t>kitchen3</t>
  </si>
  <si>
    <t>kitchen4</t>
  </si>
  <si>
    <t>"Place the three blocks on the pink plate in the order of, from bottom to top, green, orange, blue."</t>
  </si>
  <si>
    <t>Gemini 3 Pro</t>
  </si>
  <si>
    <t>Sorting</t>
  </si>
  <si>
    <t>Gemini Robo</t>
  </si>
  <si>
    <t>gpt5.2</t>
  </si>
  <si>
    <t>gpt4o</t>
  </si>
  <si>
    <t>Qwen3 vl plus</t>
  </si>
  <si>
    <t>Claude-4.5-Opus</t>
  </si>
  <si>
    <t>Claude-4,5-Sonnet</t>
  </si>
  <si>
    <t>Qwen-2.5VL-7B</t>
  </si>
  <si>
    <t>Molmo-7B</t>
  </si>
  <si>
    <t>Object Detector(IoU)</t>
  </si>
  <si>
    <t>No human disturbance</t>
  </si>
  <si>
    <t>Human Distrubance (move obj.)</t>
  </si>
  <si>
    <t>Human Distrubance (move box and obj.)</t>
  </si>
  <si>
    <t>Stack_Human Disturbance(1 time)</t>
  </si>
  <si>
    <t>0/2</t>
  </si>
  <si>
    <t>Grasp of banana trigger wrist cam.</t>
  </si>
  <si>
    <t>Grasp of banana wrist pose fail.</t>
  </si>
  <si>
    <t>apple_scene1</t>
  </si>
  <si>
    <t>chicken_leg_scene1</t>
  </si>
  <si>
    <t>crossword_A_scene1</t>
  </si>
  <si>
    <t>crossword_I_scene1</t>
  </si>
  <si>
    <t>orange_cube_scene1</t>
  </si>
  <si>
    <t>yellow_cube_scene1</t>
  </si>
  <si>
    <t>lemon_scene1</t>
  </si>
  <si>
    <t>spam_can_scene1</t>
  </si>
  <si>
    <t>spice_bottle_scene1</t>
  </si>
  <si>
    <t>tennis_scene1</t>
  </si>
  <si>
    <t>place_lemon_scene1</t>
  </si>
  <si>
    <t>pick_yellow_cube_scene1</t>
  </si>
  <si>
    <t>apple_scene2</t>
  </si>
  <si>
    <t>chicken_leg_scene2</t>
  </si>
  <si>
    <t>crossword_A_scene2</t>
  </si>
  <si>
    <t>crossword_I_scene2</t>
  </si>
  <si>
    <t>orange_cube_scene2</t>
  </si>
  <si>
    <t>yellow_cube_scene2</t>
  </si>
  <si>
    <t>lemon_scene2</t>
  </si>
  <si>
    <t>spam_can_scene2</t>
  </si>
  <si>
    <t>spice_bottle_scene2</t>
  </si>
  <si>
    <t>tennis_scene2</t>
  </si>
  <si>
    <t>place_lemon_scene2</t>
  </si>
  <si>
    <t>pick_yellow_cube_scene2</t>
  </si>
  <si>
    <t>apple</t>
  </si>
  <si>
    <t>banana</t>
  </si>
  <si>
    <t>blue_snack_pack</t>
  </si>
  <si>
    <t>can</t>
  </si>
  <si>
    <t>green_cube</t>
  </si>
  <si>
    <t>lemon</t>
  </si>
  <si>
    <t>yellow_cube</t>
  </si>
  <si>
    <t>avocado</t>
  </si>
  <si>
    <t>blue oreo package</t>
  </si>
  <si>
    <t>avocado on grey bowl</t>
  </si>
  <si>
    <t>ball toy</t>
  </si>
  <si>
    <t>toy dinosaur on blue bin</t>
  </si>
  <si>
    <t>toy dinosaur</t>
  </si>
  <si>
    <t>toy lion</t>
  </si>
  <si>
    <t>green apple</t>
  </si>
  <si>
    <t>banana on bowl</t>
  </si>
  <si>
    <t>lion toy</t>
  </si>
  <si>
    <t>lion toy on blue bin</t>
  </si>
  <si>
    <t>green cube on cyan plate</t>
  </si>
  <si>
    <t>orange cube on blue plate</t>
  </si>
  <si>
    <t>blue cube on beige plate</t>
  </si>
  <si>
    <t>green cube on white plate</t>
  </si>
  <si>
    <t>green cube on beige plate</t>
  </si>
  <si>
    <t>letter block i</t>
  </si>
  <si>
    <t>letter block e</t>
  </si>
  <si>
    <t>letter block a</t>
  </si>
  <si>
    <t>pot lid</t>
  </si>
  <si>
    <t>cup</t>
  </si>
  <si>
    <t>potato</t>
  </si>
  <si>
    <t>salt bottle</t>
  </si>
  <si>
    <t>salt bottle on top drawer</t>
  </si>
  <si>
    <t>yellow_block</t>
  </si>
  <si>
    <t>blue_block</t>
  </si>
  <si>
    <t>lemon_wrong_obj</t>
  </si>
  <si>
    <t>lemon_collision</t>
  </si>
  <si>
    <t>banana_wrong_obj</t>
  </si>
  <si>
    <t>block_a_correct</t>
  </si>
  <si>
    <t>block_a_collision</t>
  </si>
  <si>
    <t>block_a_collision_2</t>
  </si>
  <si>
    <t>block_b_collision</t>
  </si>
  <si>
    <t>pill_bottle_correct</t>
  </si>
  <si>
    <t>pill_bottle_collision</t>
  </si>
  <si>
    <t>pill_bottle_collision_2</t>
  </si>
  <si>
    <t>knob_correct</t>
  </si>
  <si>
    <t>knob_correct_2</t>
  </si>
  <si>
    <t>knob_wrong_obj</t>
  </si>
  <si>
    <t>knob_collision</t>
  </si>
  <si>
    <t>stuffed_dinosaur</t>
  </si>
  <si>
    <t>salt_bottle</t>
  </si>
  <si>
    <t>orange_block</t>
  </si>
  <si>
    <t>pot_lid_handle</t>
  </si>
  <si>
    <t>orange_dinosaur</t>
  </si>
  <si>
    <t>spice_bottle</t>
  </si>
  <si>
    <t>can-1</t>
  </si>
  <si>
    <t>banana-1</t>
  </si>
  <si>
    <t>pink-plate-1</t>
  </si>
  <si>
    <t>blue-bin-1</t>
  </si>
  <si>
    <t>number-slot-1</t>
  </si>
  <si>
    <t>blue-cube-1</t>
  </si>
  <si>
    <t>pot-lid-1</t>
  </si>
  <si>
    <t>number-slot-4</t>
  </si>
  <si>
    <t>green-cube-1</t>
  </si>
  <si>
    <t>drink-can-1</t>
  </si>
  <si>
    <t>top-drawer-knob-1</t>
  </si>
  <si>
    <t>letter-cube-a-1</t>
  </si>
  <si>
    <t>spoon-1</t>
  </si>
  <si>
    <t>bottom-drawer-knob-1</t>
  </si>
  <si>
    <t>robot-gripper</t>
  </si>
  <si>
    <t>top-surface-of-green-cube-1</t>
  </si>
  <si>
    <t>top-surface-of-yellow-cube-1</t>
  </si>
  <si>
    <t>blue-snack-pack-1</t>
  </si>
  <si>
    <t>Single-VLM pipeline evaluation on the sorting task</t>
  </si>
  <si>
    <t>Trial-level outcomes, failure categories, execution times, and token usage for the evaluated single-VLM pipelines on the sorting task.</t>
  </si>
  <si>
    <t>Trial ID</t>
    <phoneticPr fontId="3" type="noConversion"/>
  </si>
  <si>
    <t>Pipeline</t>
    <phoneticPr fontId="3" type="noConversion"/>
  </si>
  <si>
    <t>Scene id</t>
    <phoneticPr fontId="3" type="noConversion"/>
  </si>
  <si>
    <t>Objects</t>
    <phoneticPr fontId="3" type="noConversion"/>
  </si>
  <si>
    <t>Task Success (pass/fail)</t>
    <phoneticPr fontId="3" type="noConversion"/>
  </si>
  <si>
    <t>Fail Category</t>
    <phoneticPr fontId="3" type="noConversion"/>
  </si>
  <si>
    <t>Runtime (s)</t>
    <phoneticPr fontId="3" type="noConversion"/>
  </si>
  <si>
    <t>Total Tokens</t>
    <phoneticPr fontId="3" type="noConversion"/>
  </si>
  <si>
    <t>Notes</t>
    <phoneticPr fontId="3" type="noConversion"/>
  </si>
  <si>
    <t>apple, lemon, yellow block</t>
  </si>
  <si>
    <t>lemon, yellow block, green block</t>
    <phoneticPr fontId="3" type="noConversion"/>
  </si>
  <si>
    <t>apple, juice box, snack pack</t>
    <phoneticPr fontId="3" type="noConversion"/>
  </si>
  <si>
    <t>banana, lemon, green block</t>
    <phoneticPr fontId="3" type="noConversion"/>
  </si>
  <si>
    <t>banana, snack pack, spam can</t>
    <phoneticPr fontId="3" type="noConversion"/>
  </si>
  <si>
    <t>banana, tennis, drink can</t>
  </si>
  <si>
    <t>Gemini 3 Pro</t>
    <phoneticPr fontId="3" type="noConversion"/>
  </si>
  <si>
    <t>Gemini 3 Pro + LangSAM</t>
  </si>
  <si>
    <t>Gemini 3 Pro + LangSAM</t>
    <phoneticPr fontId="3" type="noConversion"/>
  </si>
  <si>
    <t>Gemini Robotics 1.5</t>
  </si>
  <si>
    <t>Gemini Robotics 1.5</t>
    <phoneticPr fontId="3" type="noConversion"/>
  </si>
  <si>
    <t>gpt 4o + LangSAM</t>
  </si>
  <si>
    <t>gpt 4o + LangSAM</t>
    <phoneticPr fontId="3" type="noConversion"/>
  </si>
  <si>
    <t>gpt 5.2 + LangSAM</t>
  </si>
  <si>
    <t>gpt 5.2 + LangSAM</t>
    <phoneticPr fontId="3" type="noConversion"/>
  </si>
  <si>
    <t>pass</t>
  </si>
  <si>
    <t>pass</t>
    <phoneticPr fontId="3" type="noConversion"/>
  </si>
  <si>
    <t>fail</t>
  </si>
  <si>
    <t>fail</t>
    <phoneticPr fontId="3" type="noConversion"/>
  </si>
  <si>
    <t>Bad grasp pose on banana, robot reach to singular point.</t>
    <phoneticPr fontId="3" type="noConversion"/>
  </si>
  <si>
    <t>Grasp Obj Fail</t>
    <phoneticPr fontId="3" type="noConversion"/>
  </si>
  <si>
    <t>Spam can grasp failure.</t>
    <phoneticPr fontId="3" type="noConversion"/>
  </si>
  <si>
    <t>\</t>
    <phoneticPr fontId="3" type="noConversion"/>
  </si>
  <si>
    <t>Object Detection Fail</t>
    <phoneticPr fontId="3" type="noConversion"/>
  </si>
  <si>
    <t>Apple detection fails. Gem_pro performs very bad at apple.</t>
    <phoneticPr fontId="3" type="noConversion"/>
  </si>
  <si>
    <t>Apple detection bbox is not good but the grasp can be performed. White bin bbox caused failure.</t>
    <phoneticPr fontId="3" type="noConversion"/>
  </si>
  <si>
    <t>Blue bin detection failed.</t>
    <phoneticPr fontId="3" type="noConversion"/>
  </si>
  <si>
    <t>White bin detection failed.</t>
    <phoneticPr fontId="3" type="noConversion"/>
  </si>
  <si>
    <t>Bad Grasp pose on blue snack pack.</t>
    <phoneticPr fontId="3" type="noConversion"/>
  </si>
  <si>
    <t>Bad Grasp pose on banana</t>
  </si>
  <si>
    <t>Banana detection failed.</t>
    <phoneticPr fontId="3" type="noConversion"/>
  </si>
  <si>
    <t>Drink can detection failed.</t>
    <phoneticPr fontId="3" type="noConversion"/>
  </si>
  <si>
    <t>Placement Position Error</t>
  </si>
  <si>
    <t>Grasp caused collision with table.</t>
    <phoneticPr fontId="3" type="noConversion"/>
  </si>
  <si>
    <t>Grasp caused collision.</t>
    <phoneticPr fontId="3" type="noConversion"/>
  </si>
  <si>
    <t>Banan grasp pose caused robot reach to singular point.</t>
    <phoneticPr fontId="3" type="noConversion"/>
  </si>
  <si>
    <t xml:space="preserve"> Cannot detect blue snack in hand.</t>
    <phoneticPr fontId="3" type="noConversion"/>
  </si>
  <si>
    <t>Banana pose generated from Kinect camera targeted wrong object. RealSense triggered. Placing fail, replan triggered, but banana drop between the bin, cannot generate good grasping pose.</t>
    <phoneticPr fontId="3" type="noConversion"/>
  </si>
  <si>
    <t>Banana grasp pose causing singularity.</t>
    <phoneticPr fontId="3" type="noConversion"/>
  </si>
  <si>
    <t>Mis-grasped on spam can, cannot regrasp.</t>
    <phoneticPr fontId="3" type="noConversion"/>
  </si>
  <si>
    <t>Bad grasp pose for tennis.</t>
    <phoneticPr fontId="3" type="noConversion"/>
  </si>
  <si>
    <t>Point out of the white bin, cannot place lemon</t>
    <phoneticPr fontId="3" type="noConversion"/>
  </si>
  <si>
    <t>Bbox for placing yellow block out of blue bin, replan triggered. Placing pose for apple was bad, no 3d pose return(out of depth cam fov).</t>
    <phoneticPr fontId="3" type="noConversion"/>
  </si>
  <si>
    <t>White bin point out of fov.</t>
    <phoneticPr fontId="3" type="noConversion"/>
  </si>
  <si>
    <t>Green block bbox failed.</t>
    <phoneticPr fontId="3" type="noConversion"/>
  </si>
  <si>
    <t>Juice bob bbox was too small, causing anygrasp failed.</t>
    <phoneticPr fontId="3" type="noConversion"/>
  </si>
  <si>
    <t>The action checker’s success rate increased substantially in this scene, possibly because the objects were more consistent with its training distribution.</t>
    <phoneticPr fontId="3" type="noConversion"/>
  </si>
  <si>
    <t>Qwen-VL-Max performed poorly in detecting holding object (e.g. yellow block, lemon, green block), implying weak visual understanding.</t>
    <phoneticPr fontId="3" type="noConversion"/>
  </si>
  <si>
    <t>Gpt5.2 performed poorly in detecting holding object, implying weak visual understanding.</t>
    <phoneticPr fontId="3" type="noConversion"/>
  </si>
  <si>
    <t>Placing point of blue bin was bad.</t>
    <phoneticPr fontId="3" type="noConversion"/>
  </si>
  <si>
    <t>Pick green block action check pass, but yellow block failws.</t>
    <phoneticPr fontId="3" type="noConversion"/>
  </si>
  <si>
    <t>Green block pick effect failed.</t>
    <phoneticPr fontId="3" type="noConversion"/>
  </si>
  <si>
    <t>Cannot pass effect check(pick snack pack).</t>
    <phoneticPr fontId="3" type="noConversion"/>
  </si>
  <si>
    <t>Cannot pass effect check(pick drink_can).</t>
    <phoneticPr fontId="3" type="noConversion"/>
  </si>
  <si>
    <t>Summary:</t>
    <phoneticPr fontId="3" type="noConversion"/>
  </si>
  <si>
    <t>Module-level performance and runtime of six evaluated VLMs</t>
    <phoneticPr fontId="3" type="noConversion"/>
  </si>
  <si>
    <t xml:space="preserve">The data can be used to obtain the bar chart of performance and time across task parser, action checker, object detector, grasp planner, and goal checker; object detector is evaluated using pointing accuracy and bounding-box IoU. </t>
    <phoneticPr fontId="3" type="noConversion"/>
  </si>
  <si>
    <t>Sample ID</t>
    <phoneticPr fontId="3" type="noConversion"/>
  </si>
  <si>
    <t>Scene</t>
    <phoneticPr fontId="3" type="noConversion"/>
  </si>
  <si>
    <t>Task ID</t>
    <phoneticPr fontId="3" type="noConversion"/>
  </si>
  <si>
    <t>Token</t>
    <phoneticPr fontId="3" type="noConversion"/>
  </si>
  <si>
    <t>Run ID</t>
    <phoneticPr fontId="3" type="noConversion"/>
  </si>
  <si>
    <t>Lab</t>
    <phoneticPr fontId="3" type="noConversion"/>
  </si>
  <si>
    <t>Kitchen Env.</t>
    <phoneticPr fontId="3" type="noConversion"/>
  </si>
  <si>
    <t>VLM Model: Gemini 3 Flash</t>
    <phoneticPr fontId="3" type="noConversion"/>
  </si>
  <si>
    <t>VLM Model: Gemini 3 Pro</t>
    <phoneticPr fontId="3" type="noConversion"/>
  </si>
  <si>
    <t>VLM Model: GPT 5.2</t>
    <phoneticPr fontId="3" type="noConversion"/>
  </si>
  <si>
    <t>Qwen3-VL-Max</t>
  </si>
  <si>
    <t>Qwen3-VL-Max</t>
    <phoneticPr fontId="3" type="noConversion"/>
  </si>
  <si>
    <t>Qwen3-VL-Plus</t>
  </si>
  <si>
    <t>Qwen3-VL-Plus</t>
    <phoneticPr fontId="3" type="noConversion"/>
  </si>
  <si>
    <t>VLM Model: Qwen3-VL-Plus</t>
    <phoneticPr fontId="3" type="noConversion"/>
  </si>
  <si>
    <t>VLM Model: Claude-4.5-Opus</t>
    <phoneticPr fontId="3" type="noConversion"/>
  </si>
  <si>
    <t>VLM Model: Molmo-7B</t>
    <phoneticPr fontId="3" type="noConversion"/>
  </si>
  <si>
    <t>Action Checker</t>
    <phoneticPr fontId="3" type="noConversion"/>
  </si>
  <si>
    <t>Image Name</t>
    <phoneticPr fontId="3" type="noConversion"/>
  </si>
  <si>
    <t>Predicate (precondition/effect)</t>
    <phoneticPr fontId="3" type="noConversion"/>
  </si>
  <si>
    <t>precondition</t>
    <phoneticPr fontId="3" type="noConversion"/>
  </si>
  <si>
    <t>effect</t>
    <phoneticPr fontId="3" type="noConversion"/>
  </si>
  <si>
    <t>blue_snack_pack</t>
    <phoneticPr fontId="3" type="noConversion"/>
  </si>
  <si>
    <t>sorting (in-the-wild)</t>
    <phoneticPr fontId="3" type="noConversion"/>
  </si>
  <si>
    <t>stacking (in-the-wild)</t>
    <phoneticPr fontId="3" type="noConversion"/>
  </si>
  <si>
    <t>crossword (in-the-wild)</t>
    <phoneticPr fontId="3" type="noConversion"/>
  </si>
  <si>
    <t>kitchen (in-the-wild)</t>
    <phoneticPr fontId="3" type="noConversion"/>
  </si>
  <si>
    <t>Object Detector</t>
    <phoneticPr fontId="3" type="noConversion"/>
  </si>
  <si>
    <t>Point in Mask (pass/fail)</t>
    <phoneticPr fontId="3" type="noConversion"/>
  </si>
  <si>
    <t>Bbox IoU (%)</t>
    <phoneticPr fontId="3" type="noConversion"/>
  </si>
  <si>
    <t>snack-pack-1</t>
    <phoneticPr fontId="3" type="noConversion"/>
  </si>
  <si>
    <t>Grasp Planner</t>
    <phoneticPr fontId="3" type="noConversion"/>
  </si>
  <si>
    <t>lemon</t>
    <phoneticPr fontId="3" type="noConversion"/>
  </si>
  <si>
    <t>Molmo 7B outputs execute grasp only, thus cannot evaluate grasp.</t>
    <phoneticPr fontId="3" type="noConversion"/>
  </si>
  <si>
    <t>Goal Checker</t>
    <phoneticPr fontId="3" type="noConversion"/>
  </si>
  <si>
    <t>Ground Truth</t>
    <phoneticPr fontId="3" type="noConversion"/>
  </si>
  <si>
    <t>Object Detector(Point in Mask)</t>
    <phoneticPr fontId="3" type="noConversion"/>
  </si>
  <si>
    <t>Module\Model(Success Rate)</t>
    <phoneticPr fontId="3" type="noConversion"/>
  </si>
  <si>
    <t>Module\Model(Time)</t>
    <phoneticPr fontId="3" type="noConversion"/>
  </si>
  <si>
    <t>Module\Model(Token)</t>
    <phoneticPr fontId="3" type="noConversion"/>
  </si>
  <si>
    <t>Total</t>
    <phoneticPr fontId="3" type="noConversion"/>
  </si>
  <si>
    <t>Task performance and runtime of single-VLM and compositional pipelines</t>
  </si>
  <si>
    <t>Task scores and execution times for the Gemini Flash and compositional pipelines across sorting, stacking, crossword, object reorientation, and kitchen manipulation tasks in two experimental environments.</t>
    <phoneticPr fontId="3" type="noConversion"/>
  </si>
  <si>
    <t>Task Prompt</t>
    <phoneticPr fontId="3" type="noConversion"/>
  </si>
  <si>
    <t>Pipeline: Gemini 3 Flash</t>
    <phoneticPr fontId="3" type="noConversion"/>
  </si>
  <si>
    <t xml:space="preserve">Task Score </t>
    <phoneticPr fontId="3" type="noConversion"/>
  </si>
  <si>
    <t>Pipeline: Composional</t>
    <phoneticPr fontId="3" type="noConversion"/>
  </si>
  <si>
    <t>Task Categroy</t>
    <phoneticPr fontId="3" type="noConversion"/>
  </si>
  <si>
    <t>Stacking</t>
    <phoneticPr fontId="3" type="noConversion"/>
  </si>
  <si>
    <t>Crossword</t>
    <phoneticPr fontId="3" type="noConversion"/>
  </si>
  <si>
    <t>Orientation</t>
    <phoneticPr fontId="3" type="noConversion"/>
  </si>
  <si>
    <t>Kitchen</t>
    <phoneticPr fontId="3" type="noConversion"/>
  </si>
  <si>
    <t>"Sort the toys into the bin."</t>
    <phoneticPr fontId="3" type="noConversion"/>
  </si>
  <si>
    <t>"Place the four blocks on the pink plate in the order of, from bottom to top, green, yellow, orange, blue."</t>
    <phoneticPr fontId="3" type="noConversion"/>
  </si>
  <si>
    <t>"Place the four blocks on the pink plate in the order of, from bottom to top, orange, blue, yellow, green."</t>
    <phoneticPr fontId="3" type="noConversion"/>
  </si>
  <si>
    <t>"Fill numbered slots using the blocks provided to solve the crossword puzzle. Note: You do not need to use all blocks or slots to solve the puzzle."</t>
    <phoneticPr fontId="3" type="noConversion"/>
  </si>
  <si>
    <t>"Pick up salt bottle and place it on the plate."</t>
    <phoneticPr fontId="3" type="noConversion"/>
  </si>
  <si>
    <t>"Pick up the bottle and place it on the plate."</t>
    <phoneticPr fontId="3" type="noConversion"/>
  </si>
  <si>
    <t>"Pick up bottles on the table and place them on the plates."</t>
    <phoneticPr fontId="3" type="noConversion"/>
  </si>
  <si>
    <t>"Open top drawer, pick the saltbottle in the top drawer, place it on the plate, close top drawer."</t>
    <phoneticPr fontId="3" type="noConversion"/>
  </si>
  <si>
    <t>"Take out the salt bottle from the middle drawer and put it on the plate, then close the drawer."</t>
    <phoneticPr fontId="3" type="noConversion"/>
  </si>
  <si>
    <t>"Open the pot lid, put the pot lid on the mat, pick the potato to the pot from bowl, then take out the salt bottle from the top drawer, place it on the plate, close the drawer."</t>
    <phoneticPr fontId="3" type="noConversion"/>
  </si>
  <si>
    <t>Task performance of VLM-Direct, VLM+PDDL, and PLanAR in Sorting task under disturbance.</t>
    <phoneticPr fontId="3" type="noConversion"/>
  </si>
  <si>
    <t>The data can be used to obtain the bar chart of task score.</t>
    <phoneticPr fontId="3" type="noConversion"/>
  </si>
  <si>
    <t>VLM-Direct</t>
    <phoneticPr fontId="3" type="noConversion"/>
  </si>
  <si>
    <t>VLM+PDDL</t>
    <phoneticPr fontId="3" type="noConversion"/>
  </si>
  <si>
    <t>PLanAR</t>
  </si>
  <si>
    <t>PLanAR</t>
    <phoneticPr fontId="3" type="noConversion"/>
  </si>
  <si>
    <t>Success rate</t>
    <phoneticPr fontId="3" type="noConversion"/>
  </si>
  <si>
    <t>0/3</t>
  </si>
  <si>
    <t>0/3</t>
    <phoneticPr fontId="3" type="noConversion"/>
  </si>
  <si>
    <t>3/3</t>
  </si>
  <si>
    <t>3/3</t>
    <phoneticPr fontId="3" type="noConversion"/>
  </si>
  <si>
    <t>Avg. Fruit</t>
    <phoneticPr fontId="3" type="noConversion"/>
  </si>
  <si>
    <t>Ablation study of the grasp planner on task performance and execution time.</t>
    <phoneticPr fontId="3" type="noConversion"/>
  </si>
  <si>
    <t xml:space="preserve">Pick fruits in cluster </t>
    <phoneticPr fontId="3" type="noConversion"/>
  </si>
  <si>
    <t>Pick dinasour toy in cluster</t>
    <phoneticPr fontId="3" type="noConversion"/>
  </si>
  <si>
    <t>Success Rate</t>
    <phoneticPr fontId="3" type="noConversion"/>
  </si>
  <si>
    <t>Note</t>
    <phoneticPr fontId="3" type="noConversion"/>
  </si>
  <si>
    <t>Grasp Planner Condition</t>
    <phoneticPr fontId="3" type="noConversion"/>
  </si>
  <si>
    <t>On</t>
    <phoneticPr fontId="3" type="noConversion"/>
  </si>
  <si>
    <t>Off</t>
    <phoneticPr fontId="3" type="noConversion"/>
  </si>
  <si>
    <t>2/2</t>
    <phoneticPr fontId="3" type="noConversion"/>
  </si>
  <si>
    <t>Bad grasp pose caused collision (lemon).</t>
    <phoneticPr fontId="3" type="noConversion"/>
  </si>
  <si>
    <t>Bad grasp pose caused collision (banana).</t>
    <phoneticPr fontId="3" type="noConversion"/>
  </si>
  <si>
    <t>Grasp banana was bad, selected wrong obj on lemon.</t>
    <phoneticPr fontId="3" type="noConversion"/>
  </si>
  <si>
    <t>Both grasp failed. Grasp of banana selected wrong obj.</t>
    <phoneticPr fontId="3" type="noConversion"/>
  </si>
  <si>
    <t>Picking dinasour toy failed.</t>
    <phoneticPr fontId="3" type="noConversion"/>
  </si>
  <si>
    <t>Grasp of banana triggered wrist cam.</t>
    <phoneticPr fontId="3" type="noConversion"/>
  </si>
  <si>
    <t>Grasp on stuffed toy triggered wrist cam but grasp fail.</t>
    <phoneticPr fontId="3" type="noConversion"/>
  </si>
  <si>
    <t>Wrist cam triggered</t>
    <phoneticPr fontId="3" type="noConversion"/>
  </si>
  <si>
    <t>Grasp on stuffed toy triggered wrist cam.</t>
    <phoneticPr fontId="3" type="noConversion"/>
  </si>
  <si>
    <t>Ablation of action checker  under increasing execution disturbances</t>
    <phoneticPr fontId="3" type="noConversion"/>
  </si>
  <si>
    <t>Action Checker Condition</t>
    <phoneticPr fontId="3" type="noConversion"/>
  </si>
  <si>
    <t>No Action Checker</t>
  </si>
  <si>
    <t>Goal Checker Only</t>
  </si>
  <si>
    <t>Full Action Checker</t>
  </si>
  <si>
    <t>2/3</t>
    <phoneticPr fontId="3" type="noConversion"/>
  </si>
  <si>
    <t>1/3</t>
    <phoneticPr fontId="3" type="noConversion"/>
  </si>
  <si>
    <t>Grasp Can failed.</t>
    <phoneticPr fontId="3" type="noConversion"/>
  </si>
  <si>
    <t>Succes rates are calculated based on how many objects are successfully placed. Bad grasp on yellow can fail, cannot drop to box.</t>
    <phoneticPr fontId="3" type="noConversion"/>
  </si>
  <si>
    <t>We tip one object (juice box) down.</t>
    <phoneticPr fontId="3" type="noConversion"/>
  </si>
  <si>
    <t>Qrits camera triggered when grasping.</t>
    <phoneticPr fontId="3" type="noConversion"/>
  </si>
  <si>
    <t>Mis-grasped twice on tip down juice box, replan triggered in the second time.</t>
    <phoneticPr fontId="3" type="noConversion"/>
  </si>
  <si>
    <t>First grasp on metal can fail, action checker detected effect not achieved, regrasped, successful.</t>
    <phoneticPr fontId="3" type="noConversion"/>
  </si>
  <si>
    <t>Moved lion toy.</t>
    <phoneticPr fontId="3" type="noConversion"/>
  </si>
  <si>
    <t>Task performance of PLanAR and a fine-tuned π₀.₅ VLA on the UR robot</t>
  </si>
  <si>
    <t>Task performance and execution time of PLanAR and TiPToP under human-induced disturbance on the Franka robot</t>
  </si>
  <si>
    <t>Method</t>
    <phoneticPr fontId="3" type="noConversion"/>
  </si>
  <si>
    <t>Task Score</t>
    <phoneticPr fontId="3" type="noConversion"/>
  </si>
  <si>
    <t>Food Sorting</t>
    <phoneticPr fontId="3" type="noConversion"/>
  </si>
  <si>
    <t>Toy Sorting</t>
    <phoneticPr fontId="3" type="noConversion"/>
  </si>
  <si>
    <t>Block Stacking</t>
    <phoneticPr fontId="3" type="noConversion"/>
  </si>
  <si>
    <t>Fine-tuned π₀.₅</t>
  </si>
  <si>
    <t>Fruit Sorting</t>
    <phoneticPr fontId="3" type="noConversion"/>
  </si>
  <si>
    <t>TipTop</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</si>
</sst>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_);[Red]\(0.00\)"/>
    <numFmt numFmtId="185" formatCode="#\ ?/2"/>
  </numFmts>
  <fonts count="11" x14ac:knownFonts="1">
    <font>
      <sz val="10"/>
      <color rgb="FF000000"/>
      <name val="Arial"/>
      <scheme val="minor"/>
    </font>
    <font>
      <sz val="10"/>
      <color theme="1"/>
      <name val="Arial"/>
      <family val="2"/>
      <scheme val="minor"/>
    </font>
    <font>
      <sz val="10"/>
      <color rgb="FF000000"/>
      <name val="Arial"/>
      <family val="2"/>
      <scheme val="minor"/>
    </font>
    <font>
      <sz val="9"/>
      <name val="Arial"/>
      <family val="3"/>
      <charset val="134"/>
      <scheme val="minor"/>
    </font>
    <font>
      <sz val="12"/>
      <color rgb="FF000000"/>
      <name val="Arial"/>
      <family val="2"/>
      <scheme val="minor"/>
    </font>
    <font>
      <sz val="12"/>
      <color rgb="FF000000"/>
      <name val="Arial (正文)"/>
      <family val="3"/>
      <charset val="134"/>
    </font>
    <font>
      <sz val="12"/>
      <color theme="1"/>
      <name val="Arial (正文)"/>
      <family val="3"/>
      <charset val="134"/>
    </font>
    <font>
      <sz val="12"/>
      <color rgb="FF000000"/>
      <name val="Arial"/>
      <family val="3"/>
    </font>
    <font>
      <sz val="12"/>
      <color theme="1"/>
      <name val="Arial"/>
      <family val="3"/>
    </font>
    <font>
      <sz val="12"/>
      <color theme="1"/>
      <name val="Arial"/>
      <family val="2"/>
      <scheme val="minor"/>
    </font>
    <font>
      <b/>
      <sz val="12"/>
      <color theme="1"/>
      <name val="Arial"/>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xf>
    <xf numFmtId="0" fontId="2" fillId="0" borderId="0" xfId="0" applyFont="1"/>
    <xf numFmtId="0" fontId="4" fillId="0" borderId="0" xfId="0" applyFont="1"/>
    <xf numFmtId="0" fontId="4" fillId="0" borderId="0" xfId="0" applyFont="1" applyAlignment="1">
      <alignment vertical="center"/>
    </xf>
    <xf numFmtId="0" fontId="5" fillId="0" borderId="0" xfId="0" applyFont="1"/>
    <xf numFmtId="0" fontId="6" fillId="0" borderId="0" xfId="0" applyFont="1" applyAlignment="1">
      <alignment horizontal="center"/>
    </xf>
    <xf numFmtId="0" fontId="7" fillId="0" borderId="0" xfId="0" applyFont="1"/>
    <xf numFmtId="0" fontId="8" fillId="0" borderId="0" xfId="0" applyFont="1" applyAlignment="1">
      <alignment horizontal="center"/>
    </xf>
    <xf numFmtId="0" fontId="8" fillId="0" borderId="0" xfId="0" applyFont="1" applyAlignment="1">
      <alignment horizontal="center" wrapText="1"/>
    </xf>
    <xf numFmtId="0" fontId="9" fillId="0" borderId="0" xfId="0" applyFont="1" applyAlignment="1">
      <alignment horizontal="left"/>
    </xf>
    <xf numFmtId="0" fontId="9" fillId="0" borderId="0" xfId="0" applyFont="1"/>
    <xf numFmtId="0" fontId="4" fillId="0" borderId="0" xfId="0" applyFont="1" applyAlignment="1">
      <alignment horizontal="center"/>
    </xf>
    <xf numFmtId="0" fontId="9" fillId="0" borderId="0" xfId="0" applyFont="1" applyAlignment="1">
      <alignment horizontal="center"/>
    </xf>
    <xf numFmtId="0" fontId="5" fillId="0" borderId="1" xfId="0" applyFont="1" applyBorder="1"/>
    <xf numFmtId="0" fontId="8" fillId="0" borderId="1" xfId="0" applyFont="1" applyBorder="1" applyAlignment="1">
      <alignment horizontal="center"/>
    </xf>
    <xf numFmtId="0" fontId="7" fillId="0" borderId="1" xfId="0" applyFont="1" applyBorder="1"/>
    <xf numFmtId="0" fontId="4" fillId="0" borderId="1" xfId="0" applyFont="1" applyBorder="1"/>
    <xf numFmtId="0" fontId="8" fillId="0" borderId="1" xfId="0" applyFont="1" applyBorder="1" applyAlignment="1">
      <alignment horizontal="center" wrapText="1"/>
    </xf>
    <xf numFmtId="0" fontId="9" fillId="0" borderId="1" xfId="0" applyFont="1" applyBorder="1" applyAlignment="1">
      <alignment horizontal="center"/>
    </xf>
    <xf numFmtId="0" fontId="4" fillId="0" borderId="1" xfId="0" applyFont="1" applyBorder="1" applyAlignment="1">
      <alignment horizontal="center"/>
    </xf>
    <xf numFmtId="0" fontId="6" fillId="0" borderId="1" xfId="0" applyFont="1" applyBorder="1" applyAlignment="1">
      <alignment horizontal="center"/>
    </xf>
    <xf numFmtId="10" fontId="2" fillId="0" borderId="0" xfId="0" applyNumberFormat="1" applyFont="1" applyAlignment="1">
      <alignment horizontal="center"/>
    </xf>
    <xf numFmtId="0" fontId="10" fillId="0" borderId="0" xfId="0" applyFont="1"/>
    <xf numFmtId="0" fontId="4"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9" fillId="0" borderId="0" xfId="0" applyFont="1" applyAlignment="1">
      <alignment horizontal="right"/>
    </xf>
    <xf numFmtId="0" fontId="4" fillId="0" borderId="0" xfId="0" applyFont="1" applyAlignment="1">
      <alignment horizontal="center" vertical="center" wrapText="1"/>
    </xf>
    <xf numFmtId="0" fontId="9"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vertical="center"/>
    </xf>
    <xf numFmtId="2" fontId="9" fillId="0" borderId="0" xfId="0" applyNumberFormat="1" applyFont="1" applyAlignment="1">
      <alignment horizontal="right"/>
    </xf>
    <xf numFmtId="0" fontId="9" fillId="0" borderId="0" xfId="0" applyFont="1" applyAlignment="1">
      <alignment horizontal="center" vertical="center"/>
    </xf>
    <xf numFmtId="178" fontId="4" fillId="0" borderId="0" xfId="0" applyNumberFormat="1" applyFont="1"/>
    <xf numFmtId="10" fontId="4" fillId="0" borderId="0" xfId="0" applyNumberFormat="1" applyFont="1"/>
    <xf numFmtId="0" fontId="4" fillId="0" borderId="3"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0" xfId="0" applyFont="1" applyBorder="1" applyAlignment="1"/>
    <xf numFmtId="0" fontId="9" fillId="0" borderId="0" xfId="0" applyFont="1" applyAlignment="1"/>
    <xf numFmtId="4" fontId="4" fillId="0" borderId="0" xfId="0" applyNumberFormat="1" applyFont="1"/>
    <xf numFmtId="4" fontId="9" fillId="0" borderId="0" xfId="0" applyNumberFormat="1" applyFont="1"/>
    <xf numFmtId="0" fontId="0" fillId="0" borderId="0" xfId="0" applyAlignment="1">
      <alignment horizontal="center" vertical="center"/>
    </xf>
    <xf numFmtId="0" fontId="4" fillId="0" borderId="0" xfId="0" applyFont="1" applyAlignment="1"/>
    <xf numFmtId="0" fontId="4" fillId="0" borderId="0" xfId="0" applyFont="1" applyFill="1" applyBorder="1"/>
    <xf numFmtId="0" fontId="4" fillId="0" borderId="0" xfId="0" applyFont="1" applyAlignment="1">
      <alignment horizontal="right"/>
    </xf>
    <xf numFmtId="49" fontId="4" fillId="0" borderId="0" xfId="0" applyNumberFormat="1" applyFont="1" applyAlignment="1">
      <alignment horizontal="right"/>
    </xf>
    <xf numFmtId="185" fontId="4" fillId="0" borderId="0" xfId="0" applyNumberFormat="1" applyFont="1" applyAlignment="1">
      <alignment horizontal="right" vertical="center"/>
    </xf>
    <xf numFmtId="49" fontId="9" fillId="0" borderId="0" xfId="0" applyNumberFormat="1" applyFont="1" applyAlignment="1">
      <alignment horizontal="right"/>
    </xf>
    <xf numFmtId="178" fontId="9" fillId="0" borderId="0" xfId="0" applyNumberFormat="1" applyFont="1" applyAlignment="1">
      <alignment horizontal="right"/>
    </xf>
    <xf numFmtId="178" fontId="9" fillId="0" borderId="0" xfId="0" applyNumberFormat="1" applyFont="1"/>
    <xf numFmtId="49" fontId="9" fillId="0" borderId="0" xfId="0" applyNumberFormat="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F6631-2529-EE4F-BBDD-F13394B1D642}">
  <dimension ref="A1:Z163"/>
  <sheetViews>
    <sheetView tabSelected="1" workbookViewId="0">
      <selection activeCell="B3" sqref="B3"/>
    </sheetView>
  </sheetViews>
  <sheetFormatPr baseColWidth="10" defaultRowHeight="16" x14ac:dyDescent="0.2"/>
  <cols>
    <col min="1" max="1" width="10.83203125" style="4"/>
    <col min="2" max="2" width="21.6640625" style="4" customWidth="1"/>
    <col min="3" max="3" width="10.83203125" style="4"/>
    <col min="4" max="4" width="31.1640625" style="4" customWidth="1"/>
    <col min="5" max="5" width="10.83203125" style="4"/>
    <col min="6" max="6" width="24.1640625" style="4" customWidth="1"/>
    <col min="7" max="17" width="10.83203125" style="4"/>
    <col min="18" max="18" width="17.33203125" style="4" customWidth="1"/>
    <col min="19" max="19" width="10.83203125" style="4"/>
    <col min="20" max="20" width="14.83203125" style="4" customWidth="1"/>
    <col min="21" max="21" width="21.5" style="4" customWidth="1"/>
    <col min="22" max="22" width="13.6640625" style="4" customWidth="1"/>
    <col min="23" max="23" width="14.83203125" style="4" customWidth="1"/>
    <col min="24" max="24" width="14" style="4" customWidth="1"/>
    <col min="25" max="25" width="19.33203125" style="4" customWidth="1"/>
    <col min="26" max="26" width="18.33203125" style="4" customWidth="1"/>
    <col min="27" max="16384" width="10.83203125" style="4"/>
  </cols>
  <sheetData>
    <row r="1" spans="1:26" x14ac:dyDescent="0.2">
      <c r="A1" s="6" t="s">
        <v>147</v>
      </c>
      <c r="B1" s="6"/>
      <c r="C1" s="6"/>
      <c r="D1" s="6"/>
      <c r="E1" s="6"/>
      <c r="F1" s="6"/>
      <c r="G1" s="6"/>
      <c r="H1" s="6"/>
      <c r="I1" s="6"/>
    </row>
    <row r="2" spans="1:26" x14ac:dyDescent="0.2">
      <c r="A2" s="6" t="s">
        <v>148</v>
      </c>
      <c r="B2" s="6"/>
      <c r="C2" s="6"/>
      <c r="D2" s="6"/>
      <c r="E2" s="6"/>
      <c r="F2" s="6"/>
      <c r="G2" s="6"/>
      <c r="H2" s="6"/>
      <c r="I2" s="6"/>
    </row>
    <row r="3" spans="1:26" ht="51" x14ac:dyDescent="0.2">
      <c r="A3" s="27" t="s">
        <v>149</v>
      </c>
      <c r="B3" s="27" t="s">
        <v>150</v>
      </c>
      <c r="C3" s="27" t="s">
        <v>151</v>
      </c>
      <c r="D3" s="27" t="s">
        <v>152</v>
      </c>
      <c r="E3" s="26" t="s">
        <v>153</v>
      </c>
      <c r="F3" s="26" t="s">
        <v>154</v>
      </c>
      <c r="G3" s="26" t="s">
        <v>155</v>
      </c>
      <c r="H3" s="26" t="s">
        <v>156</v>
      </c>
      <c r="I3" s="27" t="s">
        <v>157</v>
      </c>
      <c r="R3" s="4" t="s">
        <v>212</v>
      </c>
    </row>
    <row r="4" spans="1:26" x14ac:dyDescent="0.2">
      <c r="A4" s="6">
        <v>1</v>
      </c>
      <c r="B4" s="7" t="s">
        <v>5</v>
      </c>
      <c r="C4" s="6">
        <v>1</v>
      </c>
      <c r="D4" s="6" t="s">
        <v>158</v>
      </c>
      <c r="E4" s="8" t="s">
        <v>174</v>
      </c>
      <c r="F4" s="8" t="s">
        <v>180</v>
      </c>
      <c r="G4" s="14">
        <v>399</v>
      </c>
      <c r="H4" s="14">
        <f>79416</f>
        <v>79416</v>
      </c>
      <c r="I4" s="6"/>
      <c r="R4" s="2" t="s">
        <v>1</v>
      </c>
      <c r="S4" s="2" t="s">
        <v>10</v>
      </c>
      <c r="T4" s="2" t="s">
        <v>11</v>
      </c>
      <c r="U4" s="2" t="s">
        <v>13</v>
      </c>
      <c r="V4" s="2" t="s">
        <v>14</v>
      </c>
      <c r="W4" s="2" t="s">
        <v>15</v>
      </c>
      <c r="X4" s="2" t="s">
        <v>16</v>
      </c>
      <c r="Y4" s="2" t="s">
        <v>17</v>
      </c>
      <c r="Z4" s="2" t="s">
        <v>18</v>
      </c>
    </row>
    <row r="5" spans="1:26" x14ac:dyDescent="0.2">
      <c r="A5" s="6">
        <v>2</v>
      </c>
      <c r="B5" s="7" t="s">
        <v>5</v>
      </c>
      <c r="C5" s="6">
        <v>1</v>
      </c>
      <c r="D5" s="6" t="s">
        <v>158</v>
      </c>
      <c r="E5" s="8" t="s">
        <v>174</v>
      </c>
      <c r="F5" s="8" t="s">
        <v>180</v>
      </c>
      <c r="G5" s="14">
        <v>303</v>
      </c>
      <c r="H5" s="14">
        <v>62192</v>
      </c>
      <c r="I5" s="6"/>
      <c r="R5" s="2" t="s">
        <v>19</v>
      </c>
      <c r="S5" s="2">
        <v>16</v>
      </c>
      <c r="T5" s="2">
        <v>2</v>
      </c>
      <c r="U5" s="2">
        <v>14</v>
      </c>
      <c r="V5" s="2">
        <v>10</v>
      </c>
      <c r="W5" s="2">
        <v>0</v>
      </c>
      <c r="X5" s="2">
        <v>5</v>
      </c>
      <c r="Y5" s="2">
        <v>0</v>
      </c>
      <c r="Z5" s="2">
        <v>1</v>
      </c>
    </row>
    <row r="6" spans="1:26" x14ac:dyDescent="0.2">
      <c r="A6" s="6">
        <v>3</v>
      </c>
      <c r="B6" s="7" t="s">
        <v>5</v>
      </c>
      <c r="C6" s="6">
        <v>1</v>
      </c>
      <c r="D6" s="6" t="s">
        <v>158</v>
      </c>
      <c r="E6" s="8" t="s">
        <v>174</v>
      </c>
      <c r="F6" s="8" t="s">
        <v>180</v>
      </c>
      <c r="G6" s="14">
        <v>283</v>
      </c>
      <c r="H6" s="14">
        <v>59824</v>
      </c>
      <c r="I6" s="6"/>
      <c r="R6" s="2" t="s">
        <v>21</v>
      </c>
      <c r="S6" s="2">
        <v>4</v>
      </c>
      <c r="T6" s="2">
        <v>4</v>
      </c>
      <c r="U6" s="2">
        <v>5</v>
      </c>
      <c r="V6" s="2">
        <v>3</v>
      </c>
      <c r="W6" s="2">
        <v>0</v>
      </c>
      <c r="X6" s="2">
        <v>0</v>
      </c>
      <c r="Y6" s="2">
        <v>0</v>
      </c>
      <c r="Z6" s="2">
        <v>0</v>
      </c>
    </row>
    <row r="7" spans="1:26" x14ac:dyDescent="0.2">
      <c r="A7" s="6">
        <v>4</v>
      </c>
      <c r="B7" s="7" t="s">
        <v>5</v>
      </c>
      <c r="C7" s="6">
        <v>1</v>
      </c>
      <c r="D7" s="6" t="s">
        <v>158</v>
      </c>
      <c r="E7" s="8" t="s">
        <v>174</v>
      </c>
      <c r="F7" s="8" t="s">
        <v>180</v>
      </c>
      <c r="G7" s="14">
        <v>281</v>
      </c>
      <c r="H7" s="14">
        <v>60047</v>
      </c>
      <c r="I7" s="6"/>
      <c r="R7" s="2" t="s">
        <v>22</v>
      </c>
      <c r="S7" s="2">
        <v>0</v>
      </c>
      <c r="T7" s="2">
        <v>6</v>
      </c>
      <c r="U7" s="2">
        <v>0</v>
      </c>
      <c r="V7" s="2">
        <v>5</v>
      </c>
      <c r="W7" s="2">
        <v>0</v>
      </c>
      <c r="X7" s="2">
        <v>0</v>
      </c>
      <c r="Y7" s="2">
        <v>0</v>
      </c>
      <c r="Z7" s="2">
        <v>0</v>
      </c>
    </row>
    <row r="8" spans="1:26" x14ac:dyDescent="0.2">
      <c r="A8" s="6">
        <v>5</v>
      </c>
      <c r="B8" s="7" t="s">
        <v>5</v>
      </c>
      <c r="C8" s="6">
        <v>2</v>
      </c>
      <c r="D8" s="6" t="s">
        <v>159</v>
      </c>
      <c r="E8" s="8" t="s">
        <v>174</v>
      </c>
      <c r="F8" s="8" t="s">
        <v>180</v>
      </c>
      <c r="G8" s="14">
        <v>317</v>
      </c>
      <c r="H8" s="14">
        <v>64700</v>
      </c>
      <c r="I8" s="6"/>
      <c r="R8" s="2" t="s">
        <v>24</v>
      </c>
      <c r="S8" s="2">
        <v>0</v>
      </c>
      <c r="T8" s="2">
        <v>4</v>
      </c>
      <c r="U8" s="2">
        <v>1</v>
      </c>
      <c r="V8" s="2">
        <v>0</v>
      </c>
      <c r="W8" s="2">
        <v>20</v>
      </c>
      <c r="X8" s="2">
        <v>15</v>
      </c>
      <c r="Y8" s="2">
        <v>20</v>
      </c>
      <c r="Z8" s="2">
        <v>18</v>
      </c>
    </row>
    <row r="9" spans="1:26" x14ac:dyDescent="0.2">
      <c r="A9" s="6">
        <v>6</v>
      </c>
      <c r="B9" s="7" t="s">
        <v>5</v>
      </c>
      <c r="C9" s="6">
        <v>2</v>
      </c>
      <c r="D9" s="6" t="s">
        <v>159</v>
      </c>
      <c r="E9" s="8" t="s">
        <v>174</v>
      </c>
      <c r="F9" s="8" t="s">
        <v>180</v>
      </c>
      <c r="G9" s="14">
        <v>312</v>
      </c>
      <c r="H9" s="14">
        <v>63053</v>
      </c>
      <c r="I9" s="6"/>
      <c r="R9" s="2" t="s">
        <v>25</v>
      </c>
      <c r="S9" s="2">
        <v>0</v>
      </c>
      <c r="T9" s="2">
        <v>4</v>
      </c>
      <c r="U9" s="2">
        <v>0</v>
      </c>
      <c r="V9" s="2">
        <v>2</v>
      </c>
      <c r="W9" s="2">
        <v>0</v>
      </c>
      <c r="X9" s="2">
        <v>0</v>
      </c>
      <c r="Y9" s="2">
        <v>0</v>
      </c>
      <c r="Z9" s="2">
        <v>1</v>
      </c>
    </row>
    <row r="10" spans="1:26" x14ac:dyDescent="0.2">
      <c r="A10" s="6">
        <v>7</v>
      </c>
      <c r="B10" s="7" t="s">
        <v>5</v>
      </c>
      <c r="C10" s="6">
        <v>2</v>
      </c>
      <c r="D10" s="6" t="s">
        <v>159</v>
      </c>
      <c r="E10" s="8" t="s">
        <v>174</v>
      </c>
      <c r="F10" s="8" t="s">
        <v>180</v>
      </c>
      <c r="G10" s="14">
        <v>391</v>
      </c>
      <c r="H10" s="14">
        <v>78675</v>
      </c>
      <c r="I10" s="6"/>
      <c r="R10" s="2"/>
      <c r="S10" s="2"/>
      <c r="T10" s="2"/>
      <c r="U10" s="2"/>
      <c r="V10" s="2"/>
      <c r="W10" s="2"/>
      <c r="X10" s="2"/>
      <c r="Y10" s="2"/>
      <c r="Z10" s="2"/>
    </row>
    <row r="11" spans="1:26" x14ac:dyDescent="0.2">
      <c r="A11" s="6">
        <v>8</v>
      </c>
      <c r="B11" s="7" t="s">
        <v>5</v>
      </c>
      <c r="C11" s="6">
        <v>3</v>
      </c>
      <c r="D11" s="6" t="s">
        <v>161</v>
      </c>
      <c r="E11" s="8" t="s">
        <v>174</v>
      </c>
      <c r="F11" s="8" t="s">
        <v>180</v>
      </c>
      <c r="G11" s="14">
        <v>296</v>
      </c>
      <c r="H11" s="14">
        <v>63389</v>
      </c>
      <c r="I11" s="6"/>
      <c r="R11" s="2"/>
      <c r="S11" s="3"/>
      <c r="T11" s="3"/>
      <c r="U11" s="3"/>
      <c r="V11" s="3"/>
      <c r="W11" s="3"/>
      <c r="X11" s="3"/>
      <c r="Y11" s="3"/>
      <c r="Z11" s="3"/>
    </row>
    <row r="12" spans="1:26" x14ac:dyDescent="0.2">
      <c r="A12" s="6">
        <v>9</v>
      </c>
      <c r="B12" s="7" t="s">
        <v>5</v>
      </c>
      <c r="C12" s="6">
        <v>3</v>
      </c>
      <c r="D12" s="6" t="s">
        <v>161</v>
      </c>
      <c r="E12" s="8" t="s">
        <v>176</v>
      </c>
      <c r="F12" s="8" t="s">
        <v>178</v>
      </c>
      <c r="G12" s="8" t="s">
        <v>180</v>
      </c>
      <c r="H12" s="8" t="s">
        <v>180</v>
      </c>
      <c r="I12" s="11" t="s">
        <v>177</v>
      </c>
      <c r="R12" s="2" t="s">
        <v>1</v>
      </c>
      <c r="S12" s="2" t="s">
        <v>10</v>
      </c>
      <c r="T12" s="2" t="s">
        <v>11</v>
      </c>
      <c r="U12" s="2" t="s">
        <v>13</v>
      </c>
      <c r="V12" s="2" t="s">
        <v>14</v>
      </c>
      <c r="W12" s="2" t="s">
        <v>15</v>
      </c>
      <c r="X12" s="2" t="s">
        <v>16</v>
      </c>
      <c r="Y12" s="2" t="s">
        <v>17</v>
      </c>
      <c r="Z12" s="2" t="s">
        <v>18</v>
      </c>
    </row>
    <row r="13" spans="1:26" x14ac:dyDescent="0.2">
      <c r="A13" s="6">
        <v>10</v>
      </c>
      <c r="B13" s="7" t="s">
        <v>5</v>
      </c>
      <c r="C13" s="6">
        <v>3</v>
      </c>
      <c r="D13" s="6" t="s">
        <v>161</v>
      </c>
      <c r="E13" s="8" t="s">
        <v>176</v>
      </c>
      <c r="F13" s="8" t="s">
        <v>178</v>
      </c>
      <c r="G13" s="8" t="s">
        <v>180</v>
      </c>
      <c r="H13" s="8" t="s">
        <v>180</v>
      </c>
      <c r="I13" s="12" t="s">
        <v>177</v>
      </c>
      <c r="R13" s="2" t="s">
        <v>19</v>
      </c>
      <c r="S13" s="23">
        <v>0.8</v>
      </c>
      <c r="T13" s="23">
        <v>0.1</v>
      </c>
      <c r="U13" s="23">
        <v>0.7</v>
      </c>
      <c r="V13" s="23">
        <v>0.5</v>
      </c>
      <c r="W13" s="23">
        <v>0</v>
      </c>
      <c r="X13" s="23">
        <v>0.25</v>
      </c>
      <c r="Y13" s="23">
        <v>0</v>
      </c>
      <c r="Z13" s="23">
        <v>0.05</v>
      </c>
    </row>
    <row r="14" spans="1:26" x14ac:dyDescent="0.2">
      <c r="A14" s="6">
        <v>11</v>
      </c>
      <c r="B14" s="7" t="s">
        <v>5</v>
      </c>
      <c r="C14" s="6">
        <v>4</v>
      </c>
      <c r="D14" s="6" t="s">
        <v>160</v>
      </c>
      <c r="E14" s="8" t="s">
        <v>174</v>
      </c>
      <c r="F14" s="8" t="s">
        <v>180</v>
      </c>
      <c r="G14" s="14">
        <v>309</v>
      </c>
      <c r="H14" s="14">
        <v>64486</v>
      </c>
      <c r="I14" s="6"/>
      <c r="R14" s="2" t="s">
        <v>21</v>
      </c>
      <c r="S14" s="23">
        <v>0.2</v>
      </c>
      <c r="T14" s="23">
        <v>0.2</v>
      </c>
      <c r="U14" s="23">
        <v>0.25</v>
      </c>
      <c r="V14" s="23">
        <v>0.15</v>
      </c>
      <c r="W14" s="23">
        <v>0</v>
      </c>
      <c r="X14" s="23">
        <v>0</v>
      </c>
      <c r="Y14" s="23">
        <v>0</v>
      </c>
      <c r="Z14" s="23">
        <v>0</v>
      </c>
    </row>
    <row r="15" spans="1:26" x14ac:dyDescent="0.2">
      <c r="A15" s="6">
        <v>12</v>
      </c>
      <c r="B15" s="7" t="s">
        <v>5</v>
      </c>
      <c r="C15" s="6">
        <v>4</v>
      </c>
      <c r="D15" s="6" t="s">
        <v>160</v>
      </c>
      <c r="E15" s="8" t="s">
        <v>174</v>
      </c>
      <c r="F15" s="8" t="s">
        <v>180</v>
      </c>
      <c r="G15" s="14">
        <v>295</v>
      </c>
      <c r="H15" s="14">
        <v>60472</v>
      </c>
      <c r="I15" s="6"/>
      <c r="R15" s="2" t="s">
        <v>22</v>
      </c>
      <c r="S15" s="23">
        <v>0</v>
      </c>
      <c r="T15" s="23">
        <v>0.3</v>
      </c>
      <c r="U15" s="23">
        <v>0</v>
      </c>
      <c r="V15" s="23">
        <v>0.25</v>
      </c>
      <c r="W15" s="23">
        <v>0</v>
      </c>
      <c r="X15" s="23">
        <v>0</v>
      </c>
      <c r="Y15" s="23">
        <v>0</v>
      </c>
      <c r="Z15" s="23">
        <v>0</v>
      </c>
    </row>
    <row r="16" spans="1:26" x14ac:dyDescent="0.2">
      <c r="A16" s="6">
        <v>13</v>
      </c>
      <c r="B16" s="7" t="s">
        <v>5</v>
      </c>
      <c r="C16" s="6">
        <v>4</v>
      </c>
      <c r="D16" s="6" t="s">
        <v>160</v>
      </c>
      <c r="E16" s="8" t="s">
        <v>174</v>
      </c>
      <c r="F16" s="8" t="s">
        <v>180</v>
      </c>
      <c r="G16" s="14">
        <v>319</v>
      </c>
      <c r="H16" s="14">
        <v>64653</v>
      </c>
      <c r="I16" s="6"/>
      <c r="R16" s="2" t="s">
        <v>24</v>
      </c>
      <c r="S16" s="23">
        <v>0</v>
      </c>
      <c r="T16" s="23">
        <v>0.2</v>
      </c>
      <c r="U16" s="23">
        <v>0.05</v>
      </c>
      <c r="V16" s="23">
        <v>0</v>
      </c>
      <c r="W16" s="23">
        <v>1</v>
      </c>
      <c r="X16" s="23">
        <v>0.75</v>
      </c>
      <c r="Y16" s="23">
        <v>1</v>
      </c>
      <c r="Z16" s="23">
        <v>0.9</v>
      </c>
    </row>
    <row r="17" spans="1:26" x14ac:dyDescent="0.2">
      <c r="A17" s="6">
        <v>14</v>
      </c>
      <c r="B17" s="7" t="s">
        <v>5</v>
      </c>
      <c r="C17" s="6">
        <v>4</v>
      </c>
      <c r="D17" s="6" t="s">
        <v>160</v>
      </c>
      <c r="E17" s="8" t="s">
        <v>174</v>
      </c>
      <c r="F17" s="8" t="s">
        <v>180</v>
      </c>
      <c r="G17" s="14">
        <v>518</v>
      </c>
      <c r="H17" s="14">
        <v>85944</v>
      </c>
      <c r="I17" s="6"/>
      <c r="R17" s="2" t="s">
        <v>25</v>
      </c>
      <c r="S17" s="23">
        <v>0</v>
      </c>
      <c r="T17" s="23">
        <v>0.2</v>
      </c>
      <c r="U17" s="23">
        <v>0</v>
      </c>
      <c r="V17" s="23">
        <v>0.1</v>
      </c>
      <c r="W17" s="23">
        <v>0</v>
      </c>
      <c r="X17" s="23">
        <v>0</v>
      </c>
      <c r="Y17" s="23">
        <v>0</v>
      </c>
      <c r="Z17" s="23">
        <v>0.05</v>
      </c>
    </row>
    <row r="18" spans="1:26" x14ac:dyDescent="0.2">
      <c r="A18" s="6">
        <v>15</v>
      </c>
      <c r="B18" s="7" t="s">
        <v>5</v>
      </c>
      <c r="C18" s="6">
        <v>5</v>
      </c>
      <c r="D18" s="8" t="s">
        <v>162</v>
      </c>
      <c r="E18" s="8" t="s">
        <v>174</v>
      </c>
      <c r="F18" s="8" t="s">
        <v>180</v>
      </c>
      <c r="G18" s="14">
        <v>313</v>
      </c>
      <c r="H18" s="14">
        <v>64077</v>
      </c>
      <c r="I18" s="6"/>
    </row>
    <row r="19" spans="1:26" x14ac:dyDescent="0.2">
      <c r="A19" s="6">
        <v>16</v>
      </c>
      <c r="B19" s="7" t="s">
        <v>5</v>
      </c>
      <c r="C19" s="6">
        <v>5</v>
      </c>
      <c r="D19" s="8" t="s">
        <v>162</v>
      </c>
      <c r="E19" s="8" t="s">
        <v>174</v>
      </c>
      <c r="F19" s="8" t="s">
        <v>180</v>
      </c>
      <c r="G19" s="14">
        <v>317</v>
      </c>
      <c r="H19" s="14">
        <v>59633</v>
      </c>
      <c r="I19" s="6"/>
    </row>
    <row r="20" spans="1:26" x14ac:dyDescent="0.2">
      <c r="A20" s="6">
        <v>17</v>
      </c>
      <c r="B20" s="7" t="s">
        <v>5</v>
      </c>
      <c r="C20" s="6">
        <v>5</v>
      </c>
      <c r="D20" s="8" t="s">
        <v>162</v>
      </c>
      <c r="E20" s="8" t="s">
        <v>176</v>
      </c>
      <c r="F20" s="8" t="s">
        <v>178</v>
      </c>
      <c r="G20" s="8" t="s">
        <v>180</v>
      </c>
      <c r="H20" s="8" t="s">
        <v>180</v>
      </c>
      <c r="I20" s="11" t="s">
        <v>179</v>
      </c>
    </row>
    <row r="21" spans="1:26" x14ac:dyDescent="0.2">
      <c r="A21" s="6">
        <v>18</v>
      </c>
      <c r="B21" s="7" t="s">
        <v>5</v>
      </c>
      <c r="C21" s="6">
        <v>6</v>
      </c>
      <c r="D21" s="6" t="s">
        <v>163</v>
      </c>
      <c r="E21" s="8" t="s">
        <v>176</v>
      </c>
      <c r="F21" s="8" t="s">
        <v>178</v>
      </c>
      <c r="G21" s="8" t="s">
        <v>180</v>
      </c>
      <c r="H21" s="8" t="s">
        <v>180</v>
      </c>
      <c r="I21" s="8" t="s">
        <v>191</v>
      </c>
    </row>
    <row r="22" spans="1:26" x14ac:dyDescent="0.2">
      <c r="A22" s="6">
        <v>19</v>
      </c>
      <c r="B22" s="7" t="s">
        <v>5</v>
      </c>
      <c r="C22" s="6">
        <v>6</v>
      </c>
      <c r="D22" s="6" t="s">
        <v>163</v>
      </c>
      <c r="E22" s="8" t="s">
        <v>174</v>
      </c>
      <c r="F22" s="8" t="s">
        <v>180</v>
      </c>
      <c r="G22" s="14">
        <v>380</v>
      </c>
      <c r="H22" s="14">
        <v>75987</v>
      </c>
      <c r="I22" s="6"/>
    </row>
    <row r="23" spans="1:26" s="18" customFormat="1" ht="17" customHeight="1" x14ac:dyDescent="0.2">
      <c r="A23" s="15">
        <v>20</v>
      </c>
      <c r="B23" s="22" t="s">
        <v>5</v>
      </c>
      <c r="C23" s="15">
        <v>6</v>
      </c>
      <c r="D23" s="15" t="s">
        <v>163</v>
      </c>
      <c r="E23" s="17" t="s">
        <v>174</v>
      </c>
      <c r="F23" s="17" t="s">
        <v>180</v>
      </c>
      <c r="G23" s="20">
        <v>321</v>
      </c>
      <c r="H23" s="20">
        <v>66265</v>
      </c>
      <c r="I23" s="15"/>
    </row>
    <row r="24" spans="1:26" x14ac:dyDescent="0.2">
      <c r="A24" s="6">
        <v>21</v>
      </c>
      <c r="B24" s="9" t="s">
        <v>164</v>
      </c>
      <c r="C24" s="6">
        <v>1</v>
      </c>
      <c r="D24" s="6" t="s">
        <v>158</v>
      </c>
      <c r="E24" s="8" t="s">
        <v>176</v>
      </c>
      <c r="F24" s="4" t="s">
        <v>181</v>
      </c>
      <c r="G24" s="4" t="s">
        <v>180</v>
      </c>
      <c r="H24" s="4" t="s">
        <v>180</v>
      </c>
      <c r="I24" s="4" t="s">
        <v>182</v>
      </c>
    </row>
    <row r="25" spans="1:26" x14ac:dyDescent="0.2">
      <c r="A25" s="6">
        <v>22</v>
      </c>
      <c r="B25" s="9" t="s">
        <v>164</v>
      </c>
      <c r="C25" s="6">
        <v>1</v>
      </c>
      <c r="D25" s="6" t="s">
        <v>158</v>
      </c>
      <c r="E25" s="8" t="s">
        <v>176</v>
      </c>
      <c r="F25" s="4" t="s">
        <v>181</v>
      </c>
      <c r="G25" s="4" t="s">
        <v>180</v>
      </c>
      <c r="H25" s="4" t="s">
        <v>180</v>
      </c>
      <c r="I25" s="4" t="s">
        <v>183</v>
      </c>
    </row>
    <row r="26" spans="1:26" x14ac:dyDescent="0.2">
      <c r="A26" s="6">
        <v>23</v>
      </c>
      <c r="B26" s="9" t="s">
        <v>34</v>
      </c>
      <c r="C26" s="6">
        <v>1</v>
      </c>
      <c r="D26" s="6" t="s">
        <v>158</v>
      </c>
      <c r="E26" s="8" t="s">
        <v>176</v>
      </c>
      <c r="F26" s="4" t="s">
        <v>24</v>
      </c>
      <c r="G26" s="4" t="s">
        <v>180</v>
      </c>
      <c r="H26" s="4" t="s">
        <v>180</v>
      </c>
    </row>
    <row r="27" spans="1:26" x14ac:dyDescent="0.2">
      <c r="A27" s="6">
        <v>24</v>
      </c>
      <c r="B27" s="9" t="s">
        <v>34</v>
      </c>
      <c r="C27" s="6">
        <v>1</v>
      </c>
      <c r="D27" s="6" t="s">
        <v>158</v>
      </c>
      <c r="E27" s="8" t="s">
        <v>176</v>
      </c>
      <c r="F27" s="4" t="s">
        <v>24</v>
      </c>
      <c r="G27" s="4" t="s">
        <v>180</v>
      </c>
      <c r="H27" s="4" t="s">
        <v>180</v>
      </c>
    </row>
    <row r="28" spans="1:26" x14ac:dyDescent="0.2">
      <c r="A28" s="6">
        <v>25</v>
      </c>
      <c r="B28" s="9" t="s">
        <v>34</v>
      </c>
      <c r="C28" s="6">
        <v>2</v>
      </c>
      <c r="D28" s="6" t="s">
        <v>159</v>
      </c>
      <c r="E28" s="8" t="s">
        <v>176</v>
      </c>
      <c r="F28" s="4" t="s">
        <v>190</v>
      </c>
      <c r="G28" s="4" t="s">
        <v>180</v>
      </c>
      <c r="H28" s="4" t="s">
        <v>180</v>
      </c>
      <c r="I28" s="4" t="s">
        <v>184</v>
      </c>
    </row>
    <row r="29" spans="1:26" x14ac:dyDescent="0.2">
      <c r="A29" s="6">
        <v>26</v>
      </c>
      <c r="B29" s="9" t="s">
        <v>34</v>
      </c>
      <c r="C29" s="6">
        <v>2</v>
      </c>
      <c r="D29" s="6" t="s">
        <v>159</v>
      </c>
      <c r="E29" s="8" t="s">
        <v>176</v>
      </c>
      <c r="F29" s="4" t="s">
        <v>190</v>
      </c>
      <c r="G29" s="4" t="s">
        <v>180</v>
      </c>
      <c r="H29" s="4" t="s">
        <v>180</v>
      </c>
      <c r="I29" s="4" t="s">
        <v>185</v>
      </c>
    </row>
    <row r="30" spans="1:26" x14ac:dyDescent="0.2">
      <c r="A30" s="6">
        <v>27</v>
      </c>
      <c r="B30" s="9" t="s">
        <v>34</v>
      </c>
      <c r="C30" s="6">
        <v>2</v>
      </c>
      <c r="D30" s="6" t="s">
        <v>159</v>
      </c>
      <c r="E30" s="4" t="s">
        <v>174</v>
      </c>
      <c r="F30" s="4" t="s">
        <v>180</v>
      </c>
      <c r="G30" s="13">
        <v>1357</v>
      </c>
      <c r="H30" s="13">
        <v>139923</v>
      </c>
    </row>
    <row r="31" spans="1:26" x14ac:dyDescent="0.2">
      <c r="A31" s="6">
        <v>28</v>
      </c>
      <c r="B31" s="9" t="s">
        <v>34</v>
      </c>
      <c r="C31" s="6">
        <v>3</v>
      </c>
      <c r="D31" s="6" t="s">
        <v>161</v>
      </c>
      <c r="E31" s="8" t="s">
        <v>176</v>
      </c>
      <c r="F31" s="4" t="s">
        <v>190</v>
      </c>
      <c r="G31" s="4" t="s">
        <v>180</v>
      </c>
      <c r="H31" s="4" t="s">
        <v>180</v>
      </c>
      <c r="I31" s="4" t="s">
        <v>185</v>
      </c>
    </row>
    <row r="32" spans="1:26" x14ac:dyDescent="0.2">
      <c r="A32" s="6">
        <v>29</v>
      </c>
      <c r="B32" s="9" t="s">
        <v>34</v>
      </c>
      <c r="C32" s="6">
        <v>3</v>
      </c>
      <c r="D32" s="6" t="s">
        <v>161</v>
      </c>
      <c r="E32" s="8" t="s">
        <v>176</v>
      </c>
      <c r="F32" s="4" t="s">
        <v>190</v>
      </c>
      <c r="G32" s="4" t="s">
        <v>180</v>
      </c>
      <c r="H32" s="4" t="s">
        <v>180</v>
      </c>
      <c r="I32" s="4" t="s">
        <v>185</v>
      </c>
    </row>
    <row r="33" spans="1:13" x14ac:dyDescent="0.2">
      <c r="A33" s="6">
        <v>30</v>
      </c>
      <c r="B33" s="9" t="s">
        <v>34</v>
      </c>
      <c r="C33" s="6">
        <v>3</v>
      </c>
      <c r="D33" s="6" t="s">
        <v>161</v>
      </c>
      <c r="E33" s="8" t="s">
        <v>176</v>
      </c>
      <c r="F33" s="4" t="s">
        <v>24</v>
      </c>
      <c r="G33" s="4" t="s">
        <v>180</v>
      </c>
      <c r="H33" s="4" t="s">
        <v>180</v>
      </c>
    </row>
    <row r="34" spans="1:13" x14ac:dyDescent="0.2">
      <c r="A34" s="6">
        <v>31</v>
      </c>
      <c r="B34" s="9" t="s">
        <v>34</v>
      </c>
      <c r="C34" s="6">
        <v>4</v>
      </c>
      <c r="D34" s="6" t="s">
        <v>160</v>
      </c>
      <c r="E34" s="8" t="s">
        <v>176</v>
      </c>
      <c r="F34" s="8" t="s">
        <v>178</v>
      </c>
      <c r="G34" s="4" t="s">
        <v>180</v>
      </c>
      <c r="H34" s="4" t="s">
        <v>180</v>
      </c>
      <c r="I34" s="4" t="s">
        <v>186</v>
      </c>
    </row>
    <row r="35" spans="1:13" x14ac:dyDescent="0.2">
      <c r="A35" s="6">
        <v>32</v>
      </c>
      <c r="B35" s="9" t="s">
        <v>34</v>
      </c>
      <c r="C35" s="6">
        <v>4</v>
      </c>
      <c r="D35" s="6" t="s">
        <v>160</v>
      </c>
      <c r="E35" s="8" t="s">
        <v>176</v>
      </c>
      <c r="F35" s="8" t="s">
        <v>178</v>
      </c>
      <c r="G35" s="4" t="s">
        <v>180</v>
      </c>
      <c r="H35" s="4" t="s">
        <v>180</v>
      </c>
      <c r="I35" s="4" t="s">
        <v>187</v>
      </c>
    </row>
    <row r="36" spans="1:13" x14ac:dyDescent="0.2">
      <c r="A36" s="6">
        <v>33</v>
      </c>
      <c r="B36" s="9" t="s">
        <v>34</v>
      </c>
      <c r="C36" s="6">
        <v>4</v>
      </c>
      <c r="D36" s="6" t="s">
        <v>160</v>
      </c>
      <c r="E36" s="8" t="s">
        <v>176</v>
      </c>
      <c r="F36" s="4" t="s">
        <v>181</v>
      </c>
      <c r="G36" s="4" t="s">
        <v>180</v>
      </c>
      <c r="H36" s="4" t="s">
        <v>180</v>
      </c>
    </row>
    <row r="37" spans="1:13" x14ac:dyDescent="0.2">
      <c r="A37" s="6">
        <v>34</v>
      </c>
      <c r="B37" s="9" t="s">
        <v>34</v>
      </c>
      <c r="C37" s="6">
        <v>4</v>
      </c>
      <c r="D37" s="6" t="s">
        <v>160</v>
      </c>
      <c r="E37" s="8" t="s">
        <v>176</v>
      </c>
      <c r="F37" s="4" t="s">
        <v>181</v>
      </c>
      <c r="G37" s="4" t="s">
        <v>180</v>
      </c>
      <c r="H37" s="4" t="s">
        <v>180</v>
      </c>
    </row>
    <row r="38" spans="1:13" x14ac:dyDescent="0.2">
      <c r="A38" s="6">
        <v>35</v>
      </c>
      <c r="B38" s="9" t="s">
        <v>34</v>
      </c>
      <c r="C38" s="6">
        <v>5</v>
      </c>
      <c r="D38" s="8" t="s">
        <v>162</v>
      </c>
      <c r="E38" s="4" t="s">
        <v>174</v>
      </c>
      <c r="F38" s="4" t="s">
        <v>180</v>
      </c>
      <c r="G38" s="13">
        <v>1119</v>
      </c>
      <c r="H38" s="13">
        <v>138123</v>
      </c>
    </row>
    <row r="39" spans="1:13" x14ac:dyDescent="0.2">
      <c r="A39" s="6">
        <v>36</v>
      </c>
      <c r="B39" s="9" t="s">
        <v>34</v>
      </c>
      <c r="C39" s="6">
        <v>5</v>
      </c>
      <c r="D39" s="8" t="s">
        <v>162</v>
      </c>
      <c r="E39" s="8" t="s">
        <v>176</v>
      </c>
      <c r="F39" s="8" t="s">
        <v>178</v>
      </c>
      <c r="G39" s="4" t="s">
        <v>180</v>
      </c>
      <c r="H39" s="4" t="s">
        <v>180</v>
      </c>
    </row>
    <row r="40" spans="1:13" x14ac:dyDescent="0.2">
      <c r="A40" s="6">
        <v>37</v>
      </c>
      <c r="B40" s="9" t="s">
        <v>34</v>
      </c>
      <c r="C40" s="6">
        <v>5</v>
      </c>
      <c r="D40" s="8" t="s">
        <v>162</v>
      </c>
      <c r="E40" s="8" t="s">
        <v>176</v>
      </c>
      <c r="F40" s="8" t="s">
        <v>178</v>
      </c>
      <c r="G40" s="4" t="s">
        <v>180</v>
      </c>
      <c r="H40" s="4" t="s">
        <v>180</v>
      </c>
    </row>
    <row r="41" spans="1:13" x14ac:dyDescent="0.2">
      <c r="A41" s="6">
        <v>38</v>
      </c>
      <c r="B41" s="9" t="s">
        <v>34</v>
      </c>
      <c r="C41" s="6">
        <v>6</v>
      </c>
      <c r="D41" s="6" t="s">
        <v>163</v>
      </c>
      <c r="E41" s="8" t="s">
        <v>176</v>
      </c>
      <c r="F41" s="4" t="s">
        <v>24</v>
      </c>
      <c r="G41" s="4" t="s">
        <v>180</v>
      </c>
      <c r="H41" s="4" t="s">
        <v>180</v>
      </c>
    </row>
    <row r="42" spans="1:13" x14ac:dyDescent="0.2">
      <c r="A42" s="6">
        <v>39</v>
      </c>
      <c r="B42" s="9" t="s">
        <v>34</v>
      </c>
      <c r="C42" s="6">
        <v>6</v>
      </c>
      <c r="D42" s="6" t="s">
        <v>163</v>
      </c>
      <c r="E42" s="8" t="s">
        <v>176</v>
      </c>
      <c r="F42" s="4" t="s">
        <v>181</v>
      </c>
      <c r="G42" s="4" t="s">
        <v>180</v>
      </c>
      <c r="H42" s="4" t="s">
        <v>180</v>
      </c>
      <c r="I42" s="4" t="s">
        <v>188</v>
      </c>
      <c r="M42" s="13"/>
    </row>
    <row r="43" spans="1:13" s="18" customFormat="1" x14ac:dyDescent="0.2">
      <c r="A43" s="15">
        <v>40</v>
      </c>
      <c r="B43" s="16" t="s">
        <v>34</v>
      </c>
      <c r="C43" s="15">
        <v>6</v>
      </c>
      <c r="D43" s="15" t="s">
        <v>163</v>
      </c>
      <c r="E43" s="17" t="s">
        <v>176</v>
      </c>
      <c r="F43" s="18" t="s">
        <v>181</v>
      </c>
      <c r="G43" s="18" t="s">
        <v>180</v>
      </c>
      <c r="H43" s="18" t="s">
        <v>180</v>
      </c>
      <c r="I43" s="18" t="s">
        <v>189</v>
      </c>
    </row>
    <row r="44" spans="1:13" ht="34" x14ac:dyDescent="0.2">
      <c r="A44" s="6">
        <v>41</v>
      </c>
      <c r="B44" s="10" t="s">
        <v>166</v>
      </c>
      <c r="C44" s="6">
        <v>1</v>
      </c>
      <c r="D44" s="6" t="s">
        <v>158</v>
      </c>
      <c r="E44" s="4" t="s">
        <v>174</v>
      </c>
      <c r="F44" s="4" t="s">
        <v>180</v>
      </c>
      <c r="G44" s="14">
        <v>529</v>
      </c>
      <c r="H44" s="14">
        <v>77076</v>
      </c>
    </row>
    <row r="45" spans="1:13" ht="34" x14ac:dyDescent="0.2">
      <c r="A45" s="6">
        <v>42</v>
      </c>
      <c r="B45" s="10" t="s">
        <v>166</v>
      </c>
      <c r="C45" s="6">
        <v>1</v>
      </c>
      <c r="D45" s="6" t="s">
        <v>158</v>
      </c>
      <c r="E45" s="4" t="s">
        <v>174</v>
      </c>
      <c r="F45" s="4" t="s">
        <v>180</v>
      </c>
      <c r="G45" s="14">
        <v>526</v>
      </c>
      <c r="H45" s="14">
        <v>77106</v>
      </c>
    </row>
    <row r="46" spans="1:13" ht="34" x14ac:dyDescent="0.2">
      <c r="A46" s="6">
        <v>43</v>
      </c>
      <c r="B46" s="10" t="s">
        <v>165</v>
      </c>
      <c r="C46" s="6">
        <v>1</v>
      </c>
      <c r="D46" s="6" t="s">
        <v>158</v>
      </c>
      <c r="E46" s="4" t="s">
        <v>174</v>
      </c>
      <c r="F46" s="4" t="s">
        <v>180</v>
      </c>
      <c r="G46" s="14">
        <v>482</v>
      </c>
      <c r="H46" s="14">
        <v>73307</v>
      </c>
    </row>
    <row r="47" spans="1:13" ht="34" x14ac:dyDescent="0.2">
      <c r="A47" s="6">
        <v>44</v>
      </c>
      <c r="B47" s="10" t="s">
        <v>165</v>
      </c>
      <c r="C47" s="6">
        <v>1</v>
      </c>
      <c r="D47" s="6" t="s">
        <v>158</v>
      </c>
      <c r="E47" s="4" t="s">
        <v>174</v>
      </c>
      <c r="F47" s="4" t="s">
        <v>180</v>
      </c>
      <c r="G47" s="14">
        <v>486</v>
      </c>
      <c r="H47" s="14">
        <v>73704</v>
      </c>
    </row>
    <row r="48" spans="1:13" ht="34" x14ac:dyDescent="0.2">
      <c r="A48" s="6">
        <v>45</v>
      </c>
      <c r="B48" s="10" t="s">
        <v>165</v>
      </c>
      <c r="C48" s="6">
        <v>2</v>
      </c>
      <c r="D48" s="6" t="s">
        <v>159</v>
      </c>
      <c r="E48" s="4" t="s">
        <v>176</v>
      </c>
      <c r="F48" s="8" t="s">
        <v>178</v>
      </c>
      <c r="G48" s="4" t="s">
        <v>180</v>
      </c>
      <c r="H48" s="4" t="s">
        <v>180</v>
      </c>
      <c r="I48" s="8" t="s">
        <v>192</v>
      </c>
    </row>
    <row r="49" spans="1:9" ht="34" x14ac:dyDescent="0.2">
      <c r="A49" s="6">
        <v>46</v>
      </c>
      <c r="B49" s="10" t="s">
        <v>165</v>
      </c>
      <c r="C49" s="6">
        <v>2</v>
      </c>
      <c r="D49" s="6" t="s">
        <v>159</v>
      </c>
      <c r="E49" s="4" t="s">
        <v>174</v>
      </c>
      <c r="F49" s="4" t="s">
        <v>180</v>
      </c>
      <c r="G49" s="14">
        <v>522</v>
      </c>
      <c r="H49" s="14">
        <v>78648</v>
      </c>
    </row>
    <row r="50" spans="1:9" ht="34" x14ac:dyDescent="0.2">
      <c r="A50" s="6">
        <v>47</v>
      </c>
      <c r="B50" s="10" t="s">
        <v>165</v>
      </c>
      <c r="C50" s="6">
        <v>2</v>
      </c>
      <c r="D50" s="6" t="s">
        <v>159</v>
      </c>
      <c r="E50" s="4" t="s">
        <v>176</v>
      </c>
      <c r="F50" s="8" t="s">
        <v>178</v>
      </c>
      <c r="G50" s="4" t="s">
        <v>180</v>
      </c>
      <c r="H50" s="4" t="s">
        <v>180</v>
      </c>
    </row>
    <row r="51" spans="1:9" ht="34" x14ac:dyDescent="0.2">
      <c r="A51" s="6">
        <v>48</v>
      </c>
      <c r="B51" s="10" t="s">
        <v>165</v>
      </c>
      <c r="C51" s="6">
        <v>3</v>
      </c>
      <c r="D51" s="6" t="s">
        <v>161</v>
      </c>
      <c r="E51" s="4" t="s">
        <v>174</v>
      </c>
      <c r="F51" s="4" t="s">
        <v>180</v>
      </c>
      <c r="G51" s="14">
        <v>479</v>
      </c>
      <c r="H51" s="14">
        <v>72813</v>
      </c>
    </row>
    <row r="52" spans="1:9" ht="34" x14ac:dyDescent="0.2">
      <c r="A52" s="6">
        <v>49</v>
      </c>
      <c r="B52" s="10" t="s">
        <v>165</v>
      </c>
      <c r="C52" s="6">
        <v>3</v>
      </c>
      <c r="D52" s="6" t="s">
        <v>161</v>
      </c>
      <c r="E52" s="4" t="s">
        <v>174</v>
      </c>
      <c r="F52" s="4" t="s">
        <v>180</v>
      </c>
      <c r="G52" s="14">
        <v>516</v>
      </c>
      <c r="H52" s="14">
        <v>75660</v>
      </c>
    </row>
    <row r="53" spans="1:9" ht="34" x14ac:dyDescent="0.2">
      <c r="A53" s="6">
        <v>50</v>
      </c>
      <c r="B53" s="10" t="s">
        <v>165</v>
      </c>
      <c r="C53" s="6">
        <v>3</v>
      </c>
      <c r="D53" s="6" t="s">
        <v>161</v>
      </c>
      <c r="E53" s="4" t="s">
        <v>176</v>
      </c>
      <c r="F53" s="8" t="s">
        <v>178</v>
      </c>
      <c r="G53" s="4" t="s">
        <v>180</v>
      </c>
      <c r="H53" s="4" t="s">
        <v>180</v>
      </c>
      <c r="I53" s="4" t="s">
        <v>193</v>
      </c>
    </row>
    <row r="54" spans="1:9" ht="34" x14ac:dyDescent="0.2">
      <c r="A54" s="6">
        <v>51</v>
      </c>
      <c r="B54" s="10" t="s">
        <v>165</v>
      </c>
      <c r="C54" s="6">
        <v>4</v>
      </c>
      <c r="D54" s="6" t="s">
        <v>160</v>
      </c>
      <c r="E54" s="4" t="s">
        <v>174</v>
      </c>
      <c r="F54" s="4" t="s">
        <v>180</v>
      </c>
      <c r="G54" s="14">
        <v>523</v>
      </c>
      <c r="H54" s="14">
        <v>96212</v>
      </c>
    </row>
    <row r="55" spans="1:9" ht="34" x14ac:dyDescent="0.2">
      <c r="A55" s="6">
        <v>52</v>
      </c>
      <c r="B55" s="10" t="s">
        <v>165</v>
      </c>
      <c r="C55" s="6">
        <v>4</v>
      </c>
      <c r="D55" s="6" t="s">
        <v>160</v>
      </c>
      <c r="E55" s="4" t="s">
        <v>174</v>
      </c>
      <c r="F55" s="4" t="s">
        <v>180</v>
      </c>
      <c r="G55" s="14">
        <v>584</v>
      </c>
      <c r="H55" s="14">
        <v>91732</v>
      </c>
    </row>
    <row r="56" spans="1:9" ht="34" x14ac:dyDescent="0.2">
      <c r="A56" s="6">
        <v>53</v>
      </c>
      <c r="B56" s="10" t="s">
        <v>165</v>
      </c>
      <c r="C56" s="6">
        <v>4</v>
      </c>
      <c r="D56" s="6" t="s">
        <v>160</v>
      </c>
      <c r="E56" s="4" t="s">
        <v>174</v>
      </c>
      <c r="F56" s="4" t="s">
        <v>180</v>
      </c>
      <c r="G56" s="14">
        <v>515</v>
      </c>
      <c r="H56" s="14">
        <v>77430</v>
      </c>
    </row>
    <row r="57" spans="1:9" ht="34" x14ac:dyDescent="0.2">
      <c r="A57" s="6">
        <v>54</v>
      </c>
      <c r="B57" s="10" t="s">
        <v>165</v>
      </c>
      <c r="C57" s="6">
        <v>4</v>
      </c>
      <c r="D57" s="6" t="s">
        <v>160</v>
      </c>
      <c r="E57" s="4" t="s">
        <v>174</v>
      </c>
      <c r="F57" s="4" t="s">
        <v>180</v>
      </c>
      <c r="G57" s="14">
        <v>763</v>
      </c>
      <c r="H57" s="14">
        <v>116993</v>
      </c>
    </row>
    <row r="58" spans="1:9" ht="34" x14ac:dyDescent="0.2">
      <c r="A58" s="6">
        <v>55</v>
      </c>
      <c r="B58" s="10" t="s">
        <v>165</v>
      </c>
      <c r="C58" s="6">
        <v>5</v>
      </c>
      <c r="D58" s="8" t="s">
        <v>162</v>
      </c>
      <c r="E58" s="4" t="s">
        <v>174</v>
      </c>
      <c r="F58" s="4" t="s">
        <v>180</v>
      </c>
      <c r="G58" s="14">
        <v>484</v>
      </c>
      <c r="H58" s="14">
        <v>76624</v>
      </c>
    </row>
    <row r="59" spans="1:9" ht="34" x14ac:dyDescent="0.2">
      <c r="A59" s="6">
        <v>56</v>
      </c>
      <c r="B59" s="10" t="s">
        <v>165</v>
      </c>
      <c r="C59" s="6">
        <v>5</v>
      </c>
      <c r="D59" s="8" t="s">
        <v>162</v>
      </c>
      <c r="E59" s="4" t="s">
        <v>176</v>
      </c>
      <c r="F59" s="4" t="s">
        <v>24</v>
      </c>
      <c r="G59" s="4" t="s">
        <v>180</v>
      </c>
      <c r="H59" s="4" t="s">
        <v>180</v>
      </c>
      <c r="I59" s="4" t="s">
        <v>194</v>
      </c>
    </row>
    <row r="60" spans="1:9" ht="34" x14ac:dyDescent="0.2">
      <c r="A60" s="6">
        <v>57</v>
      </c>
      <c r="B60" s="10" t="s">
        <v>165</v>
      </c>
      <c r="C60" s="6">
        <v>5</v>
      </c>
      <c r="D60" s="8" t="s">
        <v>162</v>
      </c>
      <c r="E60" s="4" t="s">
        <v>174</v>
      </c>
      <c r="F60" s="4" t="s">
        <v>180</v>
      </c>
      <c r="G60" s="14">
        <v>494</v>
      </c>
      <c r="H60" s="14">
        <v>76892</v>
      </c>
    </row>
    <row r="61" spans="1:9" ht="34" x14ac:dyDescent="0.2">
      <c r="A61" s="6">
        <v>58</v>
      </c>
      <c r="B61" s="10" t="s">
        <v>165</v>
      </c>
      <c r="C61" s="6">
        <v>6</v>
      </c>
      <c r="D61" s="6" t="s">
        <v>163</v>
      </c>
      <c r="E61" s="4" t="s">
        <v>174</v>
      </c>
      <c r="F61" s="4" t="s">
        <v>180</v>
      </c>
      <c r="G61" s="14">
        <v>435</v>
      </c>
      <c r="H61" s="14">
        <v>68904</v>
      </c>
    </row>
    <row r="62" spans="1:9" ht="34" x14ac:dyDescent="0.2">
      <c r="A62" s="6">
        <v>59</v>
      </c>
      <c r="B62" s="10" t="s">
        <v>165</v>
      </c>
      <c r="C62" s="6">
        <v>6</v>
      </c>
      <c r="D62" s="6" t="s">
        <v>163</v>
      </c>
      <c r="E62" s="4" t="s">
        <v>176</v>
      </c>
      <c r="F62" s="8" t="s">
        <v>178</v>
      </c>
      <c r="G62" s="4" t="s">
        <v>180</v>
      </c>
      <c r="H62" s="4" t="s">
        <v>180</v>
      </c>
      <c r="I62" s="4" t="s">
        <v>195</v>
      </c>
    </row>
    <row r="63" spans="1:9" s="18" customFormat="1" ht="34" x14ac:dyDescent="0.2">
      <c r="A63" s="15">
        <v>60</v>
      </c>
      <c r="B63" s="19" t="s">
        <v>165</v>
      </c>
      <c r="C63" s="15">
        <v>6</v>
      </c>
      <c r="D63" s="15" t="s">
        <v>163</v>
      </c>
      <c r="E63" s="18" t="s">
        <v>176</v>
      </c>
      <c r="F63" s="17" t="s">
        <v>178</v>
      </c>
      <c r="G63" s="18" t="s">
        <v>180</v>
      </c>
      <c r="H63" s="18" t="s">
        <v>180</v>
      </c>
      <c r="I63" s="18" t="s">
        <v>196</v>
      </c>
    </row>
    <row r="64" spans="1:9" x14ac:dyDescent="0.2">
      <c r="A64" s="6">
        <v>61</v>
      </c>
      <c r="B64" s="9" t="s">
        <v>168</v>
      </c>
      <c r="C64" s="6">
        <v>1</v>
      </c>
      <c r="D64" s="6" t="s">
        <v>158</v>
      </c>
      <c r="E64" s="4" t="s">
        <v>176</v>
      </c>
      <c r="F64" s="4" t="s">
        <v>190</v>
      </c>
      <c r="I64" s="4" t="s">
        <v>199</v>
      </c>
    </row>
    <row r="65" spans="1:9" x14ac:dyDescent="0.2">
      <c r="A65" s="6">
        <v>62</v>
      </c>
      <c r="B65" s="9" t="s">
        <v>168</v>
      </c>
      <c r="C65" s="6">
        <v>1</v>
      </c>
      <c r="D65" s="6" t="s">
        <v>158</v>
      </c>
      <c r="E65" s="4" t="s">
        <v>174</v>
      </c>
      <c r="F65" s="4" t="s">
        <v>180</v>
      </c>
      <c r="G65" s="14">
        <v>381</v>
      </c>
      <c r="H65" s="13">
        <v>39691</v>
      </c>
    </row>
    <row r="66" spans="1:9" x14ac:dyDescent="0.2">
      <c r="A66" s="6">
        <v>63</v>
      </c>
      <c r="B66" s="9" t="s">
        <v>167</v>
      </c>
      <c r="C66" s="6">
        <v>1</v>
      </c>
      <c r="D66" s="6" t="s">
        <v>158</v>
      </c>
      <c r="E66" s="4" t="s">
        <v>174</v>
      </c>
      <c r="F66" s="4" t="s">
        <v>180</v>
      </c>
      <c r="G66" s="14">
        <v>361</v>
      </c>
      <c r="H66" s="13">
        <v>38229</v>
      </c>
    </row>
    <row r="67" spans="1:9" x14ac:dyDescent="0.2">
      <c r="A67" s="6">
        <v>64</v>
      </c>
      <c r="B67" s="9" t="s">
        <v>167</v>
      </c>
      <c r="C67" s="6">
        <v>1</v>
      </c>
      <c r="D67" s="6" t="s">
        <v>158</v>
      </c>
      <c r="E67" s="4" t="s">
        <v>176</v>
      </c>
      <c r="F67" s="4" t="s">
        <v>190</v>
      </c>
      <c r="G67" s="4" t="s">
        <v>180</v>
      </c>
      <c r="H67" s="4" t="s">
        <v>180</v>
      </c>
      <c r="I67" s="4" t="s">
        <v>200</v>
      </c>
    </row>
    <row r="68" spans="1:9" x14ac:dyDescent="0.2">
      <c r="A68" s="6">
        <v>65</v>
      </c>
      <c r="B68" s="9" t="s">
        <v>167</v>
      </c>
      <c r="C68" s="6">
        <v>2</v>
      </c>
      <c r="D68" s="6" t="s">
        <v>159</v>
      </c>
      <c r="E68" s="4" t="s">
        <v>176</v>
      </c>
      <c r="F68" s="4" t="s">
        <v>181</v>
      </c>
      <c r="G68" s="4" t="s">
        <v>180</v>
      </c>
      <c r="H68" s="4" t="s">
        <v>180</v>
      </c>
      <c r="I68" s="4" t="s">
        <v>201</v>
      </c>
    </row>
    <row r="69" spans="1:9" x14ac:dyDescent="0.2">
      <c r="A69" s="6">
        <v>66</v>
      </c>
      <c r="B69" s="9" t="s">
        <v>167</v>
      </c>
      <c r="C69" s="6">
        <v>2</v>
      </c>
      <c r="D69" s="6" t="s">
        <v>159</v>
      </c>
      <c r="E69" s="4" t="s">
        <v>176</v>
      </c>
      <c r="F69" s="4" t="s">
        <v>181</v>
      </c>
      <c r="G69" s="4" t="s">
        <v>180</v>
      </c>
      <c r="H69" s="4" t="s">
        <v>180</v>
      </c>
    </row>
    <row r="70" spans="1:9" x14ac:dyDescent="0.2">
      <c r="A70" s="6">
        <v>67</v>
      </c>
      <c r="B70" s="9" t="s">
        <v>167</v>
      </c>
      <c r="C70" s="6">
        <v>2</v>
      </c>
      <c r="D70" s="6" t="s">
        <v>159</v>
      </c>
      <c r="E70" s="4" t="s">
        <v>176</v>
      </c>
      <c r="F70" s="4" t="s">
        <v>181</v>
      </c>
      <c r="G70" s="4" t="s">
        <v>180</v>
      </c>
      <c r="H70" s="4" t="s">
        <v>180</v>
      </c>
      <c r="I70" s="4" t="s">
        <v>202</v>
      </c>
    </row>
    <row r="71" spans="1:9" x14ac:dyDescent="0.2">
      <c r="A71" s="6">
        <v>68</v>
      </c>
      <c r="B71" s="9" t="s">
        <v>167</v>
      </c>
      <c r="C71" s="6">
        <v>3</v>
      </c>
      <c r="D71" s="6" t="s">
        <v>161</v>
      </c>
      <c r="E71" s="4" t="s">
        <v>174</v>
      </c>
      <c r="F71" s="4" t="s">
        <v>180</v>
      </c>
      <c r="G71" s="14">
        <v>385</v>
      </c>
      <c r="H71" s="13">
        <v>40191</v>
      </c>
    </row>
    <row r="72" spans="1:9" x14ac:dyDescent="0.2">
      <c r="A72" s="6">
        <v>69</v>
      </c>
      <c r="B72" s="9" t="s">
        <v>167</v>
      </c>
      <c r="C72" s="6">
        <v>3</v>
      </c>
      <c r="D72" s="6" t="s">
        <v>161</v>
      </c>
      <c r="E72" s="4" t="s">
        <v>174</v>
      </c>
      <c r="F72" s="4" t="s">
        <v>180</v>
      </c>
      <c r="G72" s="14">
        <v>515</v>
      </c>
      <c r="H72" s="13">
        <v>54961</v>
      </c>
    </row>
    <row r="73" spans="1:9" x14ac:dyDescent="0.2">
      <c r="A73" s="6">
        <v>70</v>
      </c>
      <c r="B73" s="9" t="s">
        <v>167</v>
      </c>
      <c r="C73" s="6">
        <v>3</v>
      </c>
      <c r="D73" s="6" t="s">
        <v>161</v>
      </c>
      <c r="E73" s="4" t="s">
        <v>176</v>
      </c>
      <c r="F73" s="4" t="s">
        <v>181</v>
      </c>
      <c r="G73" s="4" t="s">
        <v>180</v>
      </c>
      <c r="H73" s="4" t="s">
        <v>180</v>
      </c>
      <c r="I73" s="4" t="s">
        <v>202</v>
      </c>
    </row>
    <row r="74" spans="1:9" x14ac:dyDescent="0.2">
      <c r="A74" s="6">
        <v>71</v>
      </c>
      <c r="B74" s="9" t="s">
        <v>167</v>
      </c>
      <c r="C74" s="6">
        <v>4</v>
      </c>
      <c r="D74" s="6" t="s">
        <v>160</v>
      </c>
      <c r="E74" s="4" t="s">
        <v>174</v>
      </c>
      <c r="F74" s="4" t="s">
        <v>180</v>
      </c>
      <c r="G74" s="14">
        <v>376</v>
      </c>
      <c r="H74" s="14">
        <v>39265</v>
      </c>
    </row>
    <row r="75" spans="1:9" x14ac:dyDescent="0.2">
      <c r="A75" s="6">
        <v>72</v>
      </c>
      <c r="B75" s="9" t="s">
        <v>167</v>
      </c>
      <c r="C75" s="6">
        <v>4</v>
      </c>
      <c r="D75" s="6" t="s">
        <v>160</v>
      </c>
      <c r="E75" s="4" t="s">
        <v>176</v>
      </c>
      <c r="F75" s="4" t="s">
        <v>181</v>
      </c>
      <c r="G75" s="4" t="s">
        <v>180</v>
      </c>
      <c r="H75" s="4" t="s">
        <v>180</v>
      </c>
      <c r="I75" s="4" t="s">
        <v>203</v>
      </c>
    </row>
    <row r="76" spans="1:9" x14ac:dyDescent="0.2">
      <c r="A76" s="6">
        <v>73</v>
      </c>
      <c r="B76" s="9" t="s">
        <v>167</v>
      </c>
      <c r="C76" s="6">
        <v>4</v>
      </c>
      <c r="D76" s="6" t="s">
        <v>160</v>
      </c>
      <c r="E76" s="4" t="s">
        <v>174</v>
      </c>
      <c r="F76" s="4" t="s">
        <v>180</v>
      </c>
      <c r="G76" s="14">
        <v>361</v>
      </c>
      <c r="H76" s="14">
        <v>39459</v>
      </c>
    </row>
    <row r="77" spans="1:9" x14ac:dyDescent="0.2">
      <c r="A77" s="6">
        <v>74</v>
      </c>
      <c r="B77" s="9" t="s">
        <v>167</v>
      </c>
      <c r="C77" s="6">
        <v>4</v>
      </c>
      <c r="D77" s="6" t="s">
        <v>160</v>
      </c>
      <c r="E77" s="4" t="s">
        <v>174</v>
      </c>
      <c r="F77" s="4" t="s">
        <v>180</v>
      </c>
      <c r="G77" s="14">
        <v>367</v>
      </c>
      <c r="H77" s="14">
        <v>39852</v>
      </c>
    </row>
    <row r="78" spans="1:9" x14ac:dyDescent="0.2">
      <c r="A78" s="6">
        <v>75</v>
      </c>
      <c r="B78" s="9" t="s">
        <v>167</v>
      </c>
      <c r="C78" s="6">
        <v>5</v>
      </c>
      <c r="D78" s="8" t="s">
        <v>162</v>
      </c>
      <c r="E78" s="4" t="s">
        <v>176</v>
      </c>
      <c r="F78" s="8" t="s">
        <v>178</v>
      </c>
      <c r="G78" s="4" t="s">
        <v>180</v>
      </c>
      <c r="H78" s="4" t="s">
        <v>180</v>
      </c>
      <c r="I78" s="4" t="s">
        <v>197</v>
      </c>
    </row>
    <row r="79" spans="1:9" x14ac:dyDescent="0.2">
      <c r="A79" s="6">
        <v>76</v>
      </c>
      <c r="B79" s="9" t="s">
        <v>167</v>
      </c>
      <c r="C79" s="6">
        <v>5</v>
      </c>
      <c r="D79" s="8" t="s">
        <v>162</v>
      </c>
      <c r="E79" s="4" t="s">
        <v>176</v>
      </c>
      <c r="F79" s="8" t="s">
        <v>178</v>
      </c>
      <c r="G79" s="4" t="s">
        <v>180</v>
      </c>
      <c r="H79" s="4" t="s">
        <v>180</v>
      </c>
      <c r="I79" s="4" t="s">
        <v>197</v>
      </c>
    </row>
    <row r="80" spans="1:9" x14ac:dyDescent="0.2">
      <c r="A80" s="6">
        <v>77</v>
      </c>
      <c r="B80" s="9" t="s">
        <v>167</v>
      </c>
      <c r="C80" s="6">
        <v>5</v>
      </c>
      <c r="D80" s="8" t="s">
        <v>162</v>
      </c>
      <c r="E80" s="4" t="s">
        <v>174</v>
      </c>
      <c r="F80" s="4" t="s">
        <v>180</v>
      </c>
      <c r="G80" s="13">
        <v>361</v>
      </c>
      <c r="H80" s="14">
        <v>38473</v>
      </c>
    </row>
    <row r="81" spans="1:9" x14ac:dyDescent="0.2">
      <c r="A81" s="6">
        <v>78</v>
      </c>
      <c r="B81" s="9" t="s">
        <v>167</v>
      </c>
      <c r="C81" s="6">
        <v>6</v>
      </c>
      <c r="D81" s="6" t="s">
        <v>163</v>
      </c>
      <c r="E81" s="4" t="s">
        <v>176</v>
      </c>
      <c r="F81" s="8" t="s">
        <v>178</v>
      </c>
      <c r="G81" s="4" t="s">
        <v>180</v>
      </c>
      <c r="H81" s="4" t="s">
        <v>180</v>
      </c>
      <c r="I81" s="4" t="s">
        <v>198</v>
      </c>
    </row>
    <row r="82" spans="1:9" x14ac:dyDescent="0.2">
      <c r="A82" s="6">
        <v>79</v>
      </c>
      <c r="B82" s="9" t="s">
        <v>167</v>
      </c>
      <c r="C82" s="6">
        <v>6</v>
      </c>
      <c r="D82" s="6" t="s">
        <v>163</v>
      </c>
      <c r="E82" s="4" t="s">
        <v>174</v>
      </c>
      <c r="F82" s="4" t="s">
        <v>180</v>
      </c>
      <c r="G82" s="14">
        <v>359</v>
      </c>
      <c r="H82" s="13">
        <v>38259</v>
      </c>
    </row>
    <row r="83" spans="1:9" s="18" customFormat="1" x14ac:dyDescent="0.2">
      <c r="A83" s="15">
        <v>80</v>
      </c>
      <c r="B83" s="16" t="s">
        <v>167</v>
      </c>
      <c r="C83" s="15">
        <v>6</v>
      </c>
      <c r="D83" s="15" t="s">
        <v>163</v>
      </c>
      <c r="E83" s="18" t="s">
        <v>174</v>
      </c>
      <c r="F83" s="18" t="s">
        <v>180</v>
      </c>
      <c r="G83" s="20">
        <v>355</v>
      </c>
      <c r="H83" s="21">
        <v>38047</v>
      </c>
    </row>
    <row r="84" spans="1:9" x14ac:dyDescent="0.2">
      <c r="A84" s="6">
        <v>81</v>
      </c>
      <c r="B84" s="9" t="s">
        <v>226</v>
      </c>
      <c r="C84" s="6">
        <v>1</v>
      </c>
      <c r="D84" s="6" t="s">
        <v>158</v>
      </c>
      <c r="E84" s="4" t="s">
        <v>176</v>
      </c>
      <c r="F84" s="4" t="s">
        <v>24</v>
      </c>
      <c r="G84" s="4" t="s">
        <v>180</v>
      </c>
      <c r="H84" s="4" t="s">
        <v>180</v>
      </c>
      <c r="I84" s="4" t="s">
        <v>205</v>
      </c>
    </row>
    <row r="85" spans="1:9" x14ac:dyDescent="0.2">
      <c r="A85" s="6">
        <v>82</v>
      </c>
      <c r="B85" s="9" t="s">
        <v>226</v>
      </c>
      <c r="C85" s="6">
        <v>1</v>
      </c>
      <c r="D85" s="6" t="s">
        <v>158</v>
      </c>
      <c r="E85" s="4" t="s">
        <v>176</v>
      </c>
      <c r="F85" s="4" t="s">
        <v>24</v>
      </c>
      <c r="G85" s="4" t="s">
        <v>180</v>
      </c>
      <c r="H85" s="4" t="s">
        <v>180</v>
      </c>
    </row>
    <row r="86" spans="1:9" x14ac:dyDescent="0.2">
      <c r="A86" s="6">
        <v>83</v>
      </c>
      <c r="B86" s="9" t="s">
        <v>225</v>
      </c>
      <c r="C86" s="6">
        <v>1</v>
      </c>
      <c r="D86" s="6" t="s">
        <v>158</v>
      </c>
      <c r="E86" s="4" t="s">
        <v>176</v>
      </c>
      <c r="F86" s="4" t="s">
        <v>24</v>
      </c>
      <c r="G86" s="4" t="s">
        <v>180</v>
      </c>
      <c r="H86" s="4" t="s">
        <v>180</v>
      </c>
    </row>
    <row r="87" spans="1:9" x14ac:dyDescent="0.2">
      <c r="A87" s="6">
        <v>84</v>
      </c>
      <c r="B87" s="9" t="s">
        <v>225</v>
      </c>
      <c r="C87" s="6">
        <v>1</v>
      </c>
      <c r="D87" s="6" t="s">
        <v>158</v>
      </c>
      <c r="E87" s="4" t="s">
        <v>176</v>
      </c>
      <c r="F87" s="4" t="s">
        <v>24</v>
      </c>
      <c r="G87" s="4" t="s">
        <v>180</v>
      </c>
      <c r="H87" s="4" t="s">
        <v>180</v>
      </c>
    </row>
    <row r="88" spans="1:9" x14ac:dyDescent="0.2">
      <c r="A88" s="6">
        <v>85</v>
      </c>
      <c r="B88" s="9" t="s">
        <v>225</v>
      </c>
      <c r="C88" s="6">
        <v>2</v>
      </c>
      <c r="D88" s="6" t="s">
        <v>159</v>
      </c>
      <c r="E88" s="4" t="s">
        <v>176</v>
      </c>
      <c r="F88" s="4" t="s">
        <v>24</v>
      </c>
      <c r="G88" s="4" t="s">
        <v>180</v>
      </c>
      <c r="H88" s="4" t="s">
        <v>180</v>
      </c>
    </row>
    <row r="89" spans="1:9" x14ac:dyDescent="0.2">
      <c r="A89" s="6">
        <v>86</v>
      </c>
      <c r="B89" s="9" t="s">
        <v>225</v>
      </c>
      <c r="C89" s="6">
        <v>2</v>
      </c>
      <c r="D89" s="6" t="s">
        <v>159</v>
      </c>
      <c r="E89" s="4" t="s">
        <v>176</v>
      </c>
      <c r="F89" s="4" t="s">
        <v>24</v>
      </c>
      <c r="G89" s="4" t="s">
        <v>180</v>
      </c>
      <c r="H89" s="4" t="s">
        <v>180</v>
      </c>
    </row>
    <row r="90" spans="1:9" x14ac:dyDescent="0.2">
      <c r="A90" s="6">
        <v>87</v>
      </c>
      <c r="B90" s="9" t="s">
        <v>225</v>
      </c>
      <c r="C90" s="6">
        <v>2</v>
      </c>
      <c r="D90" s="6" t="s">
        <v>159</v>
      </c>
      <c r="E90" s="4" t="s">
        <v>176</v>
      </c>
      <c r="F90" s="4" t="s">
        <v>24</v>
      </c>
      <c r="G90" s="4" t="s">
        <v>180</v>
      </c>
      <c r="H90" s="4" t="s">
        <v>180</v>
      </c>
    </row>
    <row r="91" spans="1:9" x14ac:dyDescent="0.2">
      <c r="A91" s="6">
        <v>88</v>
      </c>
      <c r="B91" s="9" t="s">
        <v>225</v>
      </c>
      <c r="C91" s="6">
        <v>3</v>
      </c>
      <c r="D91" s="6" t="s">
        <v>161</v>
      </c>
      <c r="E91" s="4" t="s">
        <v>176</v>
      </c>
      <c r="F91" s="4" t="s">
        <v>24</v>
      </c>
      <c r="G91" s="4" t="s">
        <v>180</v>
      </c>
      <c r="H91" s="4" t="s">
        <v>180</v>
      </c>
    </row>
    <row r="92" spans="1:9" x14ac:dyDescent="0.2">
      <c r="A92" s="6">
        <v>89</v>
      </c>
      <c r="B92" s="9" t="s">
        <v>225</v>
      </c>
      <c r="C92" s="6">
        <v>3</v>
      </c>
      <c r="D92" s="6" t="s">
        <v>161</v>
      </c>
      <c r="E92" s="4" t="s">
        <v>176</v>
      </c>
      <c r="F92" s="4" t="s">
        <v>24</v>
      </c>
      <c r="G92" s="4" t="s">
        <v>180</v>
      </c>
      <c r="H92" s="4" t="s">
        <v>180</v>
      </c>
    </row>
    <row r="93" spans="1:9" x14ac:dyDescent="0.2">
      <c r="A93" s="6">
        <v>90</v>
      </c>
      <c r="B93" s="9" t="s">
        <v>225</v>
      </c>
      <c r="C93" s="6">
        <v>3</v>
      </c>
      <c r="D93" s="6" t="s">
        <v>161</v>
      </c>
      <c r="E93" s="4" t="s">
        <v>176</v>
      </c>
      <c r="F93" s="4" t="s">
        <v>24</v>
      </c>
      <c r="G93" s="4" t="s">
        <v>180</v>
      </c>
      <c r="H93" s="4" t="s">
        <v>180</v>
      </c>
    </row>
    <row r="94" spans="1:9" x14ac:dyDescent="0.2">
      <c r="A94" s="6">
        <v>91</v>
      </c>
      <c r="B94" s="9" t="s">
        <v>225</v>
      </c>
      <c r="C94" s="6">
        <v>4</v>
      </c>
      <c r="D94" s="6" t="s">
        <v>160</v>
      </c>
      <c r="E94" s="4" t="s">
        <v>176</v>
      </c>
      <c r="F94" s="4" t="s">
        <v>24</v>
      </c>
      <c r="G94" s="4" t="s">
        <v>180</v>
      </c>
      <c r="H94" s="4" t="s">
        <v>180</v>
      </c>
    </row>
    <row r="95" spans="1:9" x14ac:dyDescent="0.2">
      <c r="A95" s="6">
        <v>92</v>
      </c>
      <c r="B95" s="9" t="s">
        <v>225</v>
      </c>
      <c r="C95" s="6">
        <v>4</v>
      </c>
      <c r="D95" s="6" t="s">
        <v>160</v>
      </c>
      <c r="E95" s="4" t="s">
        <v>176</v>
      </c>
      <c r="F95" s="4" t="s">
        <v>24</v>
      </c>
      <c r="G95" s="4" t="s">
        <v>180</v>
      </c>
      <c r="H95" s="4" t="s">
        <v>180</v>
      </c>
    </row>
    <row r="96" spans="1:9" x14ac:dyDescent="0.2">
      <c r="A96" s="6">
        <v>93</v>
      </c>
      <c r="B96" s="9" t="s">
        <v>225</v>
      </c>
      <c r="C96" s="6">
        <v>4</v>
      </c>
      <c r="D96" s="6" t="s">
        <v>160</v>
      </c>
      <c r="E96" s="4" t="s">
        <v>176</v>
      </c>
      <c r="F96" s="4" t="s">
        <v>24</v>
      </c>
      <c r="G96" s="4" t="s">
        <v>180</v>
      </c>
      <c r="H96" s="4" t="s">
        <v>180</v>
      </c>
    </row>
    <row r="97" spans="1:8" x14ac:dyDescent="0.2">
      <c r="A97" s="6">
        <v>94</v>
      </c>
      <c r="B97" s="9" t="s">
        <v>225</v>
      </c>
      <c r="C97" s="6">
        <v>4</v>
      </c>
      <c r="D97" s="6" t="s">
        <v>160</v>
      </c>
      <c r="E97" s="4" t="s">
        <v>176</v>
      </c>
      <c r="F97" s="4" t="s">
        <v>24</v>
      </c>
      <c r="G97" s="4" t="s">
        <v>180</v>
      </c>
      <c r="H97" s="4" t="s">
        <v>180</v>
      </c>
    </row>
    <row r="98" spans="1:8" x14ac:dyDescent="0.2">
      <c r="A98" s="6">
        <v>95</v>
      </c>
      <c r="B98" s="9" t="s">
        <v>225</v>
      </c>
      <c r="C98" s="6">
        <v>5</v>
      </c>
      <c r="D98" s="8" t="s">
        <v>162</v>
      </c>
      <c r="E98" s="4" t="s">
        <v>176</v>
      </c>
      <c r="F98" s="4" t="s">
        <v>24</v>
      </c>
      <c r="G98" s="4" t="s">
        <v>180</v>
      </c>
      <c r="H98" s="4" t="s">
        <v>180</v>
      </c>
    </row>
    <row r="99" spans="1:8" x14ac:dyDescent="0.2">
      <c r="A99" s="6">
        <v>96</v>
      </c>
      <c r="B99" s="9" t="s">
        <v>225</v>
      </c>
      <c r="C99" s="6">
        <v>5</v>
      </c>
      <c r="D99" s="8" t="s">
        <v>162</v>
      </c>
      <c r="E99" s="4" t="s">
        <v>176</v>
      </c>
      <c r="F99" s="4" t="s">
        <v>24</v>
      </c>
      <c r="G99" s="4" t="s">
        <v>180</v>
      </c>
      <c r="H99" s="4" t="s">
        <v>180</v>
      </c>
    </row>
    <row r="100" spans="1:8" x14ac:dyDescent="0.2">
      <c r="A100" s="6">
        <v>97</v>
      </c>
      <c r="B100" s="9" t="s">
        <v>225</v>
      </c>
      <c r="C100" s="6">
        <v>5</v>
      </c>
      <c r="D100" s="8" t="s">
        <v>162</v>
      </c>
      <c r="E100" s="4" t="s">
        <v>176</v>
      </c>
      <c r="F100" s="4" t="s">
        <v>24</v>
      </c>
      <c r="G100" s="4" t="s">
        <v>180</v>
      </c>
      <c r="H100" s="4" t="s">
        <v>180</v>
      </c>
    </row>
    <row r="101" spans="1:8" x14ac:dyDescent="0.2">
      <c r="A101" s="6">
        <v>98</v>
      </c>
      <c r="B101" s="9" t="s">
        <v>225</v>
      </c>
      <c r="C101" s="6">
        <v>6</v>
      </c>
      <c r="D101" s="6" t="s">
        <v>163</v>
      </c>
      <c r="E101" s="4" t="s">
        <v>176</v>
      </c>
      <c r="F101" s="4" t="s">
        <v>24</v>
      </c>
      <c r="G101" s="4" t="s">
        <v>180</v>
      </c>
      <c r="H101" s="4" t="s">
        <v>180</v>
      </c>
    </row>
    <row r="102" spans="1:8" x14ac:dyDescent="0.2">
      <c r="A102" s="6">
        <v>99</v>
      </c>
      <c r="B102" s="9" t="s">
        <v>225</v>
      </c>
      <c r="C102" s="6">
        <v>6</v>
      </c>
      <c r="D102" s="6" t="s">
        <v>163</v>
      </c>
      <c r="E102" s="4" t="s">
        <v>176</v>
      </c>
      <c r="F102" s="4" t="s">
        <v>24</v>
      </c>
      <c r="G102" s="4" t="s">
        <v>180</v>
      </c>
      <c r="H102" s="4" t="s">
        <v>180</v>
      </c>
    </row>
    <row r="103" spans="1:8" s="18" customFormat="1" x14ac:dyDescent="0.2">
      <c r="A103" s="15">
        <v>100</v>
      </c>
      <c r="B103" s="16" t="s">
        <v>225</v>
      </c>
      <c r="C103" s="15">
        <v>6</v>
      </c>
      <c r="D103" s="15" t="s">
        <v>163</v>
      </c>
      <c r="E103" s="18" t="s">
        <v>176</v>
      </c>
      <c r="F103" s="18" t="s">
        <v>24</v>
      </c>
      <c r="G103" s="18" t="s">
        <v>180</v>
      </c>
      <c r="H103" s="18" t="s">
        <v>180</v>
      </c>
    </row>
    <row r="104" spans="1:8" x14ac:dyDescent="0.2">
      <c r="A104" s="6">
        <v>101</v>
      </c>
      <c r="B104" s="9" t="s">
        <v>228</v>
      </c>
      <c r="C104" s="6">
        <v>1</v>
      </c>
      <c r="D104" s="6" t="s">
        <v>158</v>
      </c>
      <c r="E104" s="4" t="s">
        <v>176</v>
      </c>
      <c r="F104" s="4" t="s">
        <v>24</v>
      </c>
      <c r="G104" s="4" t="s">
        <v>180</v>
      </c>
      <c r="H104" s="4" t="s">
        <v>180</v>
      </c>
    </row>
    <row r="105" spans="1:8" x14ac:dyDescent="0.2">
      <c r="A105" s="6">
        <v>102</v>
      </c>
      <c r="B105" s="9" t="s">
        <v>228</v>
      </c>
      <c r="C105" s="6">
        <v>1</v>
      </c>
      <c r="D105" s="6" t="s">
        <v>158</v>
      </c>
      <c r="E105" s="4" t="s">
        <v>176</v>
      </c>
      <c r="F105" s="4" t="s">
        <v>24</v>
      </c>
      <c r="G105" s="4" t="s">
        <v>180</v>
      </c>
      <c r="H105" s="4" t="s">
        <v>180</v>
      </c>
    </row>
    <row r="106" spans="1:8" x14ac:dyDescent="0.2">
      <c r="A106" s="6">
        <v>103</v>
      </c>
      <c r="B106" s="9" t="s">
        <v>227</v>
      </c>
      <c r="C106" s="6">
        <v>1</v>
      </c>
      <c r="D106" s="6" t="s">
        <v>158</v>
      </c>
      <c r="E106" s="4" t="s">
        <v>176</v>
      </c>
      <c r="F106" s="4" t="s">
        <v>24</v>
      </c>
      <c r="G106" s="4" t="s">
        <v>180</v>
      </c>
      <c r="H106" s="4" t="s">
        <v>180</v>
      </c>
    </row>
    <row r="107" spans="1:8" x14ac:dyDescent="0.2">
      <c r="A107" s="6">
        <v>104</v>
      </c>
      <c r="B107" s="9" t="s">
        <v>227</v>
      </c>
      <c r="C107" s="6">
        <v>1</v>
      </c>
      <c r="D107" s="6" t="s">
        <v>158</v>
      </c>
      <c r="E107" s="4" t="s">
        <v>176</v>
      </c>
      <c r="F107" s="4" t="s">
        <v>24</v>
      </c>
      <c r="G107" s="4" t="s">
        <v>180</v>
      </c>
      <c r="H107" s="4" t="s">
        <v>180</v>
      </c>
    </row>
    <row r="108" spans="1:8" x14ac:dyDescent="0.2">
      <c r="A108" s="6">
        <v>105</v>
      </c>
      <c r="B108" s="9" t="s">
        <v>227</v>
      </c>
      <c r="C108" s="6">
        <v>2</v>
      </c>
      <c r="D108" s="6" t="s">
        <v>159</v>
      </c>
      <c r="E108" s="4" t="s">
        <v>176</v>
      </c>
      <c r="F108" s="4" t="s">
        <v>24</v>
      </c>
      <c r="G108" s="4" t="s">
        <v>180</v>
      </c>
      <c r="H108" s="4" t="s">
        <v>180</v>
      </c>
    </row>
    <row r="109" spans="1:8" x14ac:dyDescent="0.2">
      <c r="A109" s="6">
        <v>106</v>
      </c>
      <c r="B109" s="9" t="s">
        <v>227</v>
      </c>
      <c r="C109" s="6">
        <v>2</v>
      </c>
      <c r="D109" s="6" t="s">
        <v>159</v>
      </c>
      <c r="E109" s="4" t="s">
        <v>176</v>
      </c>
      <c r="F109" s="4" t="s">
        <v>24</v>
      </c>
      <c r="G109" s="4" t="s">
        <v>180</v>
      </c>
      <c r="H109" s="4" t="s">
        <v>180</v>
      </c>
    </row>
    <row r="110" spans="1:8" x14ac:dyDescent="0.2">
      <c r="A110" s="6">
        <v>107</v>
      </c>
      <c r="B110" s="9" t="s">
        <v>227</v>
      </c>
      <c r="C110" s="6">
        <v>2</v>
      </c>
      <c r="D110" s="6" t="s">
        <v>159</v>
      </c>
      <c r="E110" s="4" t="s">
        <v>176</v>
      </c>
      <c r="F110" s="4" t="s">
        <v>24</v>
      </c>
      <c r="G110" s="4" t="s">
        <v>180</v>
      </c>
      <c r="H110" s="4" t="s">
        <v>180</v>
      </c>
    </row>
    <row r="111" spans="1:8" x14ac:dyDescent="0.2">
      <c r="A111" s="6">
        <v>108</v>
      </c>
      <c r="B111" s="9" t="s">
        <v>227</v>
      </c>
      <c r="C111" s="6">
        <v>3</v>
      </c>
      <c r="D111" s="6" t="s">
        <v>161</v>
      </c>
      <c r="E111" s="4" t="s">
        <v>176</v>
      </c>
      <c r="F111" s="4" t="s">
        <v>24</v>
      </c>
      <c r="G111" s="4" t="s">
        <v>180</v>
      </c>
      <c r="H111" s="4" t="s">
        <v>180</v>
      </c>
    </row>
    <row r="112" spans="1:8" x14ac:dyDescent="0.2">
      <c r="A112" s="6">
        <v>109</v>
      </c>
      <c r="B112" s="9" t="s">
        <v>227</v>
      </c>
      <c r="C112" s="6">
        <v>3</v>
      </c>
      <c r="D112" s="6" t="s">
        <v>161</v>
      </c>
      <c r="E112" s="4" t="s">
        <v>176</v>
      </c>
      <c r="F112" s="4" t="s">
        <v>24</v>
      </c>
      <c r="G112" s="4" t="s">
        <v>180</v>
      </c>
      <c r="H112" s="4" t="s">
        <v>180</v>
      </c>
    </row>
    <row r="113" spans="1:9" x14ac:dyDescent="0.2">
      <c r="A113" s="6">
        <v>110</v>
      </c>
      <c r="B113" s="9" t="s">
        <v>227</v>
      </c>
      <c r="C113" s="6">
        <v>3</v>
      </c>
      <c r="D113" s="6" t="s">
        <v>161</v>
      </c>
      <c r="E113" s="4" t="s">
        <v>176</v>
      </c>
      <c r="F113" s="4" t="s">
        <v>24</v>
      </c>
      <c r="G113" s="4" t="s">
        <v>180</v>
      </c>
      <c r="H113" s="4" t="s">
        <v>180</v>
      </c>
    </row>
    <row r="114" spans="1:9" x14ac:dyDescent="0.2">
      <c r="A114" s="6">
        <v>111</v>
      </c>
      <c r="B114" s="9" t="s">
        <v>227</v>
      </c>
      <c r="C114" s="6">
        <v>4</v>
      </c>
      <c r="D114" s="6" t="s">
        <v>160</v>
      </c>
      <c r="E114" s="4" t="s">
        <v>174</v>
      </c>
      <c r="F114" s="4" t="s">
        <v>180</v>
      </c>
      <c r="G114" s="14">
        <v>563</v>
      </c>
      <c r="H114" s="14">
        <v>49684</v>
      </c>
      <c r="I114" s="4" t="s">
        <v>204</v>
      </c>
    </row>
    <row r="115" spans="1:9" x14ac:dyDescent="0.2">
      <c r="A115" s="6">
        <v>112</v>
      </c>
      <c r="B115" s="9" t="s">
        <v>227</v>
      </c>
      <c r="C115" s="6">
        <v>4</v>
      </c>
      <c r="D115" s="6" t="s">
        <v>160</v>
      </c>
      <c r="E115" s="4" t="s">
        <v>174</v>
      </c>
      <c r="F115" s="4" t="s">
        <v>180</v>
      </c>
      <c r="G115" s="14">
        <v>514</v>
      </c>
      <c r="H115" s="14">
        <v>42362</v>
      </c>
    </row>
    <row r="116" spans="1:9" x14ac:dyDescent="0.2">
      <c r="A116" s="6">
        <v>113</v>
      </c>
      <c r="B116" s="9" t="s">
        <v>227</v>
      </c>
      <c r="C116" s="6">
        <v>4</v>
      </c>
      <c r="D116" s="6" t="s">
        <v>160</v>
      </c>
      <c r="E116" s="4" t="s">
        <v>174</v>
      </c>
      <c r="F116" s="4" t="s">
        <v>180</v>
      </c>
      <c r="G116" s="14">
        <v>583</v>
      </c>
      <c r="H116" s="14">
        <v>43684</v>
      </c>
    </row>
    <row r="117" spans="1:9" x14ac:dyDescent="0.2">
      <c r="A117" s="6">
        <v>114</v>
      </c>
      <c r="B117" s="9" t="s">
        <v>227</v>
      </c>
      <c r="C117" s="6">
        <v>4</v>
      </c>
      <c r="D117" s="6" t="s">
        <v>160</v>
      </c>
      <c r="E117" s="4" t="s">
        <v>174</v>
      </c>
      <c r="F117" s="4" t="s">
        <v>180</v>
      </c>
      <c r="G117" s="14">
        <v>612</v>
      </c>
      <c r="H117" s="14">
        <v>56345</v>
      </c>
    </row>
    <row r="118" spans="1:9" x14ac:dyDescent="0.2">
      <c r="A118" s="6">
        <v>115</v>
      </c>
      <c r="B118" s="9" t="s">
        <v>227</v>
      </c>
      <c r="C118" s="6">
        <v>5</v>
      </c>
      <c r="D118" s="8" t="s">
        <v>162</v>
      </c>
      <c r="E118" s="4" t="s">
        <v>176</v>
      </c>
      <c r="F118" s="4" t="s">
        <v>24</v>
      </c>
      <c r="G118" s="4" t="s">
        <v>180</v>
      </c>
      <c r="H118" s="4" t="s">
        <v>180</v>
      </c>
    </row>
    <row r="119" spans="1:9" x14ac:dyDescent="0.2">
      <c r="A119" s="6">
        <v>116</v>
      </c>
      <c r="B119" s="9" t="s">
        <v>227</v>
      </c>
      <c r="C119" s="6">
        <v>5</v>
      </c>
      <c r="D119" s="8" t="s">
        <v>162</v>
      </c>
      <c r="E119" s="4" t="s">
        <v>176</v>
      </c>
      <c r="F119" s="4" t="s">
        <v>24</v>
      </c>
      <c r="G119" s="11" t="s">
        <v>180</v>
      </c>
      <c r="H119" s="11" t="s">
        <v>180</v>
      </c>
    </row>
    <row r="120" spans="1:9" x14ac:dyDescent="0.2">
      <c r="A120" s="6">
        <v>117</v>
      </c>
      <c r="B120" s="9" t="s">
        <v>227</v>
      </c>
      <c r="C120" s="6">
        <v>5</v>
      </c>
      <c r="D120" s="8" t="s">
        <v>162</v>
      </c>
      <c r="E120" s="4" t="s">
        <v>176</v>
      </c>
      <c r="F120" s="4" t="s">
        <v>24</v>
      </c>
      <c r="G120" s="11" t="s">
        <v>180</v>
      </c>
      <c r="H120" s="11" t="s">
        <v>180</v>
      </c>
    </row>
    <row r="121" spans="1:9" x14ac:dyDescent="0.2">
      <c r="A121" s="6">
        <v>118</v>
      </c>
      <c r="B121" s="9" t="s">
        <v>227</v>
      </c>
      <c r="C121" s="6">
        <v>6</v>
      </c>
      <c r="D121" s="6" t="s">
        <v>163</v>
      </c>
      <c r="E121" s="4" t="s">
        <v>174</v>
      </c>
      <c r="F121" s="4" t="s">
        <v>180</v>
      </c>
      <c r="G121" s="14">
        <v>419</v>
      </c>
      <c r="H121" s="14">
        <v>36362</v>
      </c>
    </row>
    <row r="122" spans="1:9" x14ac:dyDescent="0.2">
      <c r="A122" s="6">
        <v>119</v>
      </c>
      <c r="B122" s="9" t="s">
        <v>227</v>
      </c>
      <c r="C122" s="6">
        <v>6</v>
      </c>
      <c r="D122" s="6" t="s">
        <v>163</v>
      </c>
      <c r="E122" s="4" t="s">
        <v>176</v>
      </c>
      <c r="F122" s="4" t="s">
        <v>24</v>
      </c>
      <c r="G122" s="4" t="s">
        <v>180</v>
      </c>
      <c r="H122" s="4" t="s">
        <v>180</v>
      </c>
    </row>
    <row r="123" spans="1:9" s="18" customFormat="1" x14ac:dyDescent="0.2">
      <c r="A123" s="15">
        <v>120</v>
      </c>
      <c r="B123" s="16" t="s">
        <v>227</v>
      </c>
      <c r="C123" s="15">
        <v>6</v>
      </c>
      <c r="D123" s="15" t="s">
        <v>163</v>
      </c>
      <c r="E123" s="18" t="s">
        <v>176</v>
      </c>
      <c r="F123" s="18" t="s">
        <v>24</v>
      </c>
      <c r="G123" s="18" t="s">
        <v>180</v>
      </c>
      <c r="H123" s="18" t="s">
        <v>180</v>
      </c>
    </row>
    <row r="124" spans="1:9" x14ac:dyDescent="0.2">
      <c r="A124" s="6">
        <v>121</v>
      </c>
      <c r="B124" s="9" t="s">
        <v>172</v>
      </c>
      <c r="C124" s="6">
        <v>1</v>
      </c>
      <c r="D124" s="6" t="s">
        <v>158</v>
      </c>
      <c r="E124" s="4" t="s">
        <v>176</v>
      </c>
      <c r="F124" s="4" t="s">
        <v>24</v>
      </c>
      <c r="G124" s="4" t="s">
        <v>180</v>
      </c>
      <c r="H124" s="4" t="s">
        <v>180</v>
      </c>
      <c r="I124" s="4" t="s">
        <v>206</v>
      </c>
    </row>
    <row r="125" spans="1:9" x14ac:dyDescent="0.2">
      <c r="A125" s="6">
        <v>122</v>
      </c>
      <c r="B125" s="9" t="s">
        <v>172</v>
      </c>
      <c r="C125" s="6">
        <v>1</v>
      </c>
      <c r="D125" s="6" t="s">
        <v>158</v>
      </c>
      <c r="E125" s="4" t="s">
        <v>176</v>
      </c>
      <c r="F125" s="4" t="s">
        <v>24</v>
      </c>
      <c r="G125" s="4" t="s">
        <v>180</v>
      </c>
      <c r="H125" s="4" t="s">
        <v>180</v>
      </c>
    </row>
    <row r="126" spans="1:9" x14ac:dyDescent="0.2">
      <c r="A126" s="6">
        <v>123</v>
      </c>
      <c r="B126" s="9" t="s">
        <v>171</v>
      </c>
      <c r="C126" s="6">
        <v>1</v>
      </c>
      <c r="D126" s="6" t="s">
        <v>158</v>
      </c>
      <c r="E126" s="4" t="s">
        <v>176</v>
      </c>
      <c r="F126" s="4" t="s">
        <v>24</v>
      </c>
      <c r="G126" s="4" t="s">
        <v>180</v>
      </c>
      <c r="H126" s="4" t="s">
        <v>180</v>
      </c>
    </row>
    <row r="127" spans="1:9" x14ac:dyDescent="0.2">
      <c r="A127" s="6">
        <v>124</v>
      </c>
      <c r="B127" s="9" t="s">
        <v>171</v>
      </c>
      <c r="C127" s="6">
        <v>1</v>
      </c>
      <c r="D127" s="6" t="s">
        <v>158</v>
      </c>
      <c r="E127" s="4" t="s">
        <v>176</v>
      </c>
      <c r="F127" s="4" t="s">
        <v>24</v>
      </c>
      <c r="G127" s="4" t="s">
        <v>180</v>
      </c>
      <c r="H127" s="4" t="s">
        <v>180</v>
      </c>
    </row>
    <row r="128" spans="1:9" x14ac:dyDescent="0.2">
      <c r="A128" s="6">
        <v>125</v>
      </c>
      <c r="B128" s="9" t="s">
        <v>171</v>
      </c>
      <c r="C128" s="6">
        <v>2</v>
      </c>
      <c r="D128" s="6" t="s">
        <v>159</v>
      </c>
      <c r="E128" s="4" t="s">
        <v>176</v>
      </c>
      <c r="F128" s="4" t="s">
        <v>24</v>
      </c>
      <c r="G128" s="4" t="s">
        <v>180</v>
      </c>
      <c r="H128" s="4" t="s">
        <v>180</v>
      </c>
    </row>
    <row r="129" spans="1:8" x14ac:dyDescent="0.2">
      <c r="A129" s="6">
        <v>126</v>
      </c>
      <c r="B129" s="9" t="s">
        <v>171</v>
      </c>
      <c r="C129" s="6">
        <v>2</v>
      </c>
      <c r="D129" s="6" t="s">
        <v>159</v>
      </c>
      <c r="E129" s="4" t="s">
        <v>176</v>
      </c>
      <c r="F129" s="4" t="s">
        <v>24</v>
      </c>
      <c r="G129" s="4" t="s">
        <v>180</v>
      </c>
      <c r="H129" s="4" t="s">
        <v>180</v>
      </c>
    </row>
    <row r="130" spans="1:8" x14ac:dyDescent="0.2">
      <c r="A130" s="6">
        <v>127</v>
      </c>
      <c r="B130" s="9" t="s">
        <v>171</v>
      </c>
      <c r="C130" s="6">
        <v>2</v>
      </c>
      <c r="D130" s="6" t="s">
        <v>159</v>
      </c>
      <c r="E130" s="4" t="s">
        <v>176</v>
      </c>
      <c r="F130" s="4" t="s">
        <v>24</v>
      </c>
      <c r="G130" s="4" t="s">
        <v>180</v>
      </c>
      <c r="H130" s="4" t="s">
        <v>180</v>
      </c>
    </row>
    <row r="131" spans="1:8" x14ac:dyDescent="0.2">
      <c r="A131" s="6">
        <v>128</v>
      </c>
      <c r="B131" s="9" t="s">
        <v>171</v>
      </c>
      <c r="C131" s="6">
        <v>3</v>
      </c>
      <c r="D131" s="6" t="s">
        <v>161</v>
      </c>
      <c r="E131" s="4" t="s">
        <v>176</v>
      </c>
      <c r="F131" s="4" t="s">
        <v>24</v>
      </c>
      <c r="G131" s="4" t="s">
        <v>180</v>
      </c>
      <c r="H131" s="4" t="s">
        <v>180</v>
      </c>
    </row>
    <row r="132" spans="1:8" x14ac:dyDescent="0.2">
      <c r="A132" s="6">
        <v>129</v>
      </c>
      <c r="B132" s="9" t="s">
        <v>171</v>
      </c>
      <c r="C132" s="6">
        <v>3</v>
      </c>
      <c r="D132" s="6" t="s">
        <v>161</v>
      </c>
      <c r="E132" s="4" t="s">
        <v>176</v>
      </c>
      <c r="F132" s="4" t="s">
        <v>24</v>
      </c>
      <c r="G132" s="4" t="s">
        <v>180</v>
      </c>
      <c r="H132" s="4" t="s">
        <v>180</v>
      </c>
    </row>
    <row r="133" spans="1:8" x14ac:dyDescent="0.2">
      <c r="A133" s="6">
        <v>130</v>
      </c>
      <c r="B133" s="9" t="s">
        <v>171</v>
      </c>
      <c r="C133" s="6">
        <v>3</v>
      </c>
      <c r="D133" s="6" t="s">
        <v>161</v>
      </c>
      <c r="E133" s="4" t="s">
        <v>176</v>
      </c>
      <c r="F133" s="4" t="s">
        <v>24</v>
      </c>
      <c r="G133" s="4" t="s">
        <v>180</v>
      </c>
      <c r="H133" s="4" t="s">
        <v>180</v>
      </c>
    </row>
    <row r="134" spans="1:8" x14ac:dyDescent="0.2">
      <c r="A134" s="6">
        <v>131</v>
      </c>
      <c r="B134" s="9" t="s">
        <v>171</v>
      </c>
      <c r="C134" s="6">
        <v>4</v>
      </c>
      <c r="D134" s="6" t="s">
        <v>160</v>
      </c>
      <c r="E134" s="4" t="s">
        <v>176</v>
      </c>
      <c r="F134" s="4" t="s">
        <v>24</v>
      </c>
      <c r="G134" s="4" t="s">
        <v>180</v>
      </c>
      <c r="H134" s="4" t="s">
        <v>180</v>
      </c>
    </row>
    <row r="135" spans="1:8" x14ac:dyDescent="0.2">
      <c r="A135" s="6">
        <v>132</v>
      </c>
      <c r="B135" s="9" t="s">
        <v>171</v>
      </c>
      <c r="C135" s="6">
        <v>4</v>
      </c>
      <c r="D135" s="6" t="s">
        <v>160</v>
      </c>
      <c r="E135" s="4" t="s">
        <v>176</v>
      </c>
      <c r="F135" s="4" t="s">
        <v>24</v>
      </c>
      <c r="G135" s="4" t="s">
        <v>180</v>
      </c>
      <c r="H135" s="4" t="s">
        <v>180</v>
      </c>
    </row>
    <row r="136" spans="1:8" x14ac:dyDescent="0.2">
      <c r="A136" s="6">
        <v>133</v>
      </c>
      <c r="B136" s="9" t="s">
        <v>171</v>
      </c>
      <c r="C136" s="6">
        <v>4</v>
      </c>
      <c r="D136" s="6" t="s">
        <v>160</v>
      </c>
      <c r="E136" s="4" t="s">
        <v>176</v>
      </c>
      <c r="F136" s="4" t="s">
        <v>24</v>
      </c>
      <c r="G136" s="4" t="s">
        <v>180</v>
      </c>
      <c r="H136" s="4" t="s">
        <v>180</v>
      </c>
    </row>
    <row r="137" spans="1:8" x14ac:dyDescent="0.2">
      <c r="A137" s="6">
        <v>134</v>
      </c>
      <c r="B137" s="9" t="s">
        <v>171</v>
      </c>
      <c r="C137" s="6">
        <v>4</v>
      </c>
      <c r="D137" s="6" t="s">
        <v>160</v>
      </c>
      <c r="E137" s="4" t="s">
        <v>176</v>
      </c>
      <c r="F137" s="4" t="s">
        <v>24</v>
      </c>
      <c r="G137" s="4" t="s">
        <v>180</v>
      </c>
      <c r="H137" s="4" t="s">
        <v>180</v>
      </c>
    </row>
    <row r="138" spans="1:8" x14ac:dyDescent="0.2">
      <c r="A138" s="6">
        <v>135</v>
      </c>
      <c r="B138" s="9" t="s">
        <v>171</v>
      </c>
      <c r="C138" s="6">
        <v>5</v>
      </c>
      <c r="D138" s="8" t="s">
        <v>162</v>
      </c>
      <c r="E138" s="4" t="s">
        <v>176</v>
      </c>
      <c r="F138" s="4" t="s">
        <v>24</v>
      </c>
      <c r="G138" s="4" t="s">
        <v>180</v>
      </c>
      <c r="H138" s="4" t="s">
        <v>180</v>
      </c>
    </row>
    <row r="139" spans="1:8" x14ac:dyDescent="0.2">
      <c r="A139" s="6">
        <v>136</v>
      </c>
      <c r="B139" s="9" t="s">
        <v>171</v>
      </c>
      <c r="C139" s="6">
        <v>5</v>
      </c>
      <c r="D139" s="8" t="s">
        <v>162</v>
      </c>
      <c r="E139" s="4" t="s">
        <v>176</v>
      </c>
      <c r="F139" s="4" t="s">
        <v>24</v>
      </c>
      <c r="G139" s="4" t="s">
        <v>180</v>
      </c>
      <c r="H139" s="4" t="s">
        <v>180</v>
      </c>
    </row>
    <row r="140" spans="1:8" x14ac:dyDescent="0.2">
      <c r="A140" s="6">
        <v>137</v>
      </c>
      <c r="B140" s="9" t="s">
        <v>171</v>
      </c>
      <c r="C140" s="6">
        <v>5</v>
      </c>
      <c r="D140" s="8" t="s">
        <v>162</v>
      </c>
      <c r="E140" s="4" t="s">
        <v>176</v>
      </c>
      <c r="F140" s="4" t="s">
        <v>24</v>
      </c>
      <c r="G140" s="4" t="s">
        <v>180</v>
      </c>
      <c r="H140" s="4" t="s">
        <v>180</v>
      </c>
    </row>
    <row r="141" spans="1:8" x14ac:dyDescent="0.2">
      <c r="A141" s="6">
        <v>138</v>
      </c>
      <c r="B141" s="9" t="s">
        <v>171</v>
      </c>
      <c r="C141" s="6">
        <v>6</v>
      </c>
      <c r="D141" s="6" t="s">
        <v>163</v>
      </c>
      <c r="E141" s="4" t="s">
        <v>176</v>
      </c>
      <c r="F141" s="4" t="s">
        <v>24</v>
      </c>
      <c r="G141" s="4" t="s">
        <v>180</v>
      </c>
      <c r="H141" s="4" t="s">
        <v>180</v>
      </c>
    </row>
    <row r="142" spans="1:8" x14ac:dyDescent="0.2">
      <c r="A142" s="6">
        <v>139</v>
      </c>
      <c r="B142" s="9" t="s">
        <v>171</v>
      </c>
      <c r="C142" s="6">
        <v>6</v>
      </c>
      <c r="D142" s="6" t="s">
        <v>163</v>
      </c>
      <c r="E142" s="4" t="s">
        <v>176</v>
      </c>
      <c r="F142" s="4" t="s">
        <v>24</v>
      </c>
      <c r="G142" s="4" t="s">
        <v>180</v>
      </c>
      <c r="H142" s="4" t="s">
        <v>180</v>
      </c>
    </row>
    <row r="143" spans="1:8" s="18" customFormat="1" x14ac:dyDescent="0.2">
      <c r="A143" s="15">
        <v>140</v>
      </c>
      <c r="B143" s="16" t="s">
        <v>171</v>
      </c>
      <c r="C143" s="15">
        <v>6</v>
      </c>
      <c r="D143" s="15" t="s">
        <v>163</v>
      </c>
      <c r="E143" s="18" t="s">
        <v>176</v>
      </c>
      <c r="F143" s="18" t="s">
        <v>24</v>
      </c>
      <c r="G143" s="18" t="s">
        <v>180</v>
      </c>
      <c r="H143" s="18" t="s">
        <v>180</v>
      </c>
    </row>
    <row r="144" spans="1:8" x14ac:dyDescent="0.2">
      <c r="A144" s="6">
        <v>141</v>
      </c>
      <c r="B144" s="9" t="s">
        <v>170</v>
      </c>
      <c r="C144" s="6">
        <v>1</v>
      </c>
      <c r="D144" s="6" t="s">
        <v>158</v>
      </c>
      <c r="E144" s="4" t="s">
        <v>174</v>
      </c>
      <c r="G144" s="13">
        <v>299</v>
      </c>
      <c r="H144" s="13">
        <v>49654</v>
      </c>
    </row>
    <row r="145" spans="1:9" x14ac:dyDescent="0.2">
      <c r="A145" s="6">
        <v>142</v>
      </c>
      <c r="B145" s="9" t="s">
        <v>170</v>
      </c>
      <c r="C145" s="6">
        <v>1</v>
      </c>
      <c r="D145" s="6" t="s">
        <v>158</v>
      </c>
      <c r="F145" s="4" t="s">
        <v>24</v>
      </c>
      <c r="G145" s="4" t="s">
        <v>180</v>
      </c>
      <c r="H145" s="4" t="s">
        <v>180</v>
      </c>
    </row>
    <row r="146" spans="1:9" x14ac:dyDescent="0.2">
      <c r="A146" s="6">
        <v>143</v>
      </c>
      <c r="B146" s="9" t="s">
        <v>169</v>
      </c>
      <c r="C146" s="6">
        <v>1</v>
      </c>
      <c r="D146" s="6" t="s">
        <v>158</v>
      </c>
      <c r="F146" s="4" t="s">
        <v>181</v>
      </c>
      <c r="G146" s="4" t="s">
        <v>180</v>
      </c>
      <c r="H146" s="4" t="s">
        <v>180</v>
      </c>
      <c r="I146" s="4" t="s">
        <v>207</v>
      </c>
    </row>
    <row r="147" spans="1:9" x14ac:dyDescent="0.2">
      <c r="A147" s="6">
        <v>144</v>
      </c>
      <c r="B147" s="9" t="s">
        <v>169</v>
      </c>
      <c r="C147" s="6">
        <v>1</v>
      </c>
      <c r="D147" s="6" t="s">
        <v>158</v>
      </c>
      <c r="F147" s="4" t="s">
        <v>24</v>
      </c>
      <c r="G147" s="4" t="s">
        <v>180</v>
      </c>
      <c r="H147" s="4" t="s">
        <v>180</v>
      </c>
    </row>
    <row r="148" spans="1:9" x14ac:dyDescent="0.2">
      <c r="A148" s="6">
        <v>145</v>
      </c>
      <c r="B148" s="9" t="s">
        <v>169</v>
      </c>
      <c r="C148" s="6">
        <v>2</v>
      </c>
      <c r="D148" s="6" t="s">
        <v>159</v>
      </c>
      <c r="F148" s="4" t="s">
        <v>24</v>
      </c>
      <c r="G148" s="4" t="s">
        <v>180</v>
      </c>
      <c r="H148" s="4" t="s">
        <v>180</v>
      </c>
    </row>
    <row r="149" spans="1:9" x14ac:dyDescent="0.2">
      <c r="A149" s="6">
        <v>146</v>
      </c>
      <c r="B149" s="9" t="s">
        <v>169</v>
      </c>
      <c r="C149" s="6">
        <v>2</v>
      </c>
      <c r="D149" s="6" t="s">
        <v>159</v>
      </c>
      <c r="F149" s="4" t="s">
        <v>24</v>
      </c>
      <c r="G149" s="4" t="s">
        <v>180</v>
      </c>
      <c r="H149" s="4" t="s">
        <v>180</v>
      </c>
      <c r="I149" s="4" t="s">
        <v>208</v>
      </c>
    </row>
    <row r="150" spans="1:9" x14ac:dyDescent="0.2">
      <c r="A150" s="6">
        <v>147</v>
      </c>
      <c r="B150" s="9" t="s">
        <v>169</v>
      </c>
      <c r="C150" s="6">
        <v>2</v>
      </c>
      <c r="D150" s="6" t="s">
        <v>159</v>
      </c>
      <c r="F150" s="4" t="s">
        <v>24</v>
      </c>
      <c r="G150" s="4" t="s">
        <v>180</v>
      </c>
      <c r="H150" s="4" t="s">
        <v>180</v>
      </c>
      <c r="I150" s="4" t="s">
        <v>209</v>
      </c>
    </row>
    <row r="151" spans="1:9" x14ac:dyDescent="0.2">
      <c r="A151" s="6">
        <v>148</v>
      </c>
      <c r="B151" s="9" t="s">
        <v>169</v>
      </c>
      <c r="C151" s="6">
        <v>3</v>
      </c>
      <c r="D151" s="6" t="s">
        <v>161</v>
      </c>
      <c r="F151" s="4" t="s">
        <v>24</v>
      </c>
      <c r="G151" s="4" t="s">
        <v>180</v>
      </c>
      <c r="H151" s="4" t="s">
        <v>180</v>
      </c>
      <c r="I151" s="4" t="s">
        <v>210</v>
      </c>
    </row>
    <row r="152" spans="1:9" x14ac:dyDescent="0.2">
      <c r="A152" s="6">
        <v>149</v>
      </c>
      <c r="B152" s="9" t="s">
        <v>169</v>
      </c>
      <c r="C152" s="6">
        <v>3</v>
      </c>
      <c r="D152" s="6" t="s">
        <v>161</v>
      </c>
      <c r="F152" s="4" t="s">
        <v>24</v>
      </c>
      <c r="G152" s="4" t="s">
        <v>180</v>
      </c>
      <c r="H152" s="4" t="s">
        <v>180</v>
      </c>
    </row>
    <row r="153" spans="1:9" x14ac:dyDescent="0.2">
      <c r="A153" s="6">
        <v>150</v>
      </c>
      <c r="B153" s="9" t="s">
        <v>169</v>
      </c>
      <c r="C153" s="6">
        <v>3</v>
      </c>
      <c r="D153" s="6" t="s">
        <v>161</v>
      </c>
      <c r="F153" s="4" t="s">
        <v>24</v>
      </c>
      <c r="G153" s="4" t="s">
        <v>180</v>
      </c>
      <c r="H153" s="4" t="s">
        <v>180</v>
      </c>
    </row>
    <row r="154" spans="1:9" x14ac:dyDescent="0.2">
      <c r="A154" s="6">
        <v>151</v>
      </c>
      <c r="B154" s="9" t="s">
        <v>169</v>
      </c>
      <c r="C154" s="6">
        <v>4</v>
      </c>
      <c r="D154" s="6" t="s">
        <v>160</v>
      </c>
      <c r="F154" s="4" t="s">
        <v>24</v>
      </c>
      <c r="G154" s="4" t="s">
        <v>180</v>
      </c>
      <c r="H154" s="4" t="s">
        <v>180</v>
      </c>
    </row>
    <row r="155" spans="1:9" x14ac:dyDescent="0.2">
      <c r="A155" s="6">
        <v>152</v>
      </c>
      <c r="B155" s="9" t="s">
        <v>169</v>
      </c>
      <c r="C155" s="6">
        <v>4</v>
      </c>
      <c r="D155" s="6" t="s">
        <v>160</v>
      </c>
      <c r="F155" s="4" t="s">
        <v>24</v>
      </c>
      <c r="G155" s="4" t="s">
        <v>180</v>
      </c>
      <c r="H155" s="4" t="s">
        <v>180</v>
      </c>
    </row>
    <row r="156" spans="1:9" x14ac:dyDescent="0.2">
      <c r="A156" s="6">
        <v>153</v>
      </c>
      <c r="B156" s="9" t="s">
        <v>169</v>
      </c>
      <c r="C156" s="6">
        <v>4</v>
      </c>
      <c r="D156" s="6" t="s">
        <v>160</v>
      </c>
      <c r="F156" s="4" t="s">
        <v>24</v>
      </c>
      <c r="G156" s="4" t="s">
        <v>180</v>
      </c>
      <c r="H156" s="4" t="s">
        <v>180</v>
      </c>
    </row>
    <row r="157" spans="1:9" x14ac:dyDescent="0.2">
      <c r="A157" s="6">
        <v>154</v>
      </c>
      <c r="B157" s="9" t="s">
        <v>169</v>
      </c>
      <c r="C157" s="6">
        <v>4</v>
      </c>
      <c r="D157" s="6" t="s">
        <v>160</v>
      </c>
      <c r="F157" s="4" t="s">
        <v>24</v>
      </c>
      <c r="G157" s="4" t="s">
        <v>180</v>
      </c>
      <c r="H157" s="4" t="s">
        <v>180</v>
      </c>
    </row>
    <row r="158" spans="1:9" x14ac:dyDescent="0.2">
      <c r="A158" s="6">
        <v>155</v>
      </c>
      <c r="B158" s="9" t="s">
        <v>169</v>
      </c>
      <c r="C158" s="6">
        <v>5</v>
      </c>
      <c r="D158" s="8" t="s">
        <v>162</v>
      </c>
      <c r="F158" s="4" t="s">
        <v>24</v>
      </c>
      <c r="G158" s="4" t="s">
        <v>180</v>
      </c>
      <c r="H158" s="4" t="s">
        <v>180</v>
      </c>
    </row>
    <row r="159" spans="1:9" x14ac:dyDescent="0.2">
      <c r="A159" s="6">
        <v>156</v>
      </c>
      <c r="B159" s="9" t="s">
        <v>169</v>
      </c>
      <c r="C159" s="6">
        <v>5</v>
      </c>
      <c r="D159" s="8" t="s">
        <v>162</v>
      </c>
      <c r="F159" s="4" t="s">
        <v>24</v>
      </c>
      <c r="G159" s="4" t="s">
        <v>180</v>
      </c>
      <c r="H159" s="4" t="s">
        <v>180</v>
      </c>
    </row>
    <row r="160" spans="1:9" x14ac:dyDescent="0.2">
      <c r="A160" s="6">
        <v>157</v>
      </c>
      <c r="B160" s="9" t="s">
        <v>169</v>
      </c>
      <c r="C160" s="6">
        <v>5</v>
      </c>
      <c r="D160" s="8" t="s">
        <v>162</v>
      </c>
      <c r="F160" s="4" t="s">
        <v>24</v>
      </c>
      <c r="G160" s="4" t="s">
        <v>180</v>
      </c>
      <c r="H160" s="4" t="s">
        <v>180</v>
      </c>
    </row>
    <row r="161" spans="1:9" x14ac:dyDescent="0.2">
      <c r="A161" s="6">
        <v>158</v>
      </c>
      <c r="B161" s="9" t="s">
        <v>169</v>
      </c>
      <c r="C161" s="6">
        <v>6</v>
      </c>
      <c r="D161" s="6" t="s">
        <v>163</v>
      </c>
      <c r="F161" s="4" t="s">
        <v>24</v>
      </c>
      <c r="G161" s="4" t="s">
        <v>180</v>
      </c>
      <c r="H161" s="4" t="s">
        <v>180</v>
      </c>
      <c r="I161" s="4" t="s">
        <v>211</v>
      </c>
    </row>
    <row r="162" spans="1:9" x14ac:dyDescent="0.2">
      <c r="A162" s="6">
        <v>159</v>
      </c>
      <c r="B162" s="9" t="s">
        <v>169</v>
      </c>
      <c r="C162" s="6">
        <v>6</v>
      </c>
      <c r="D162" s="6" t="s">
        <v>163</v>
      </c>
      <c r="F162" s="4" t="s">
        <v>24</v>
      </c>
      <c r="G162" s="4" t="s">
        <v>180</v>
      </c>
      <c r="H162" s="4" t="s">
        <v>180</v>
      </c>
    </row>
    <row r="163" spans="1:9" x14ac:dyDescent="0.2">
      <c r="A163" s="6">
        <v>160</v>
      </c>
      <c r="B163" s="9" t="s">
        <v>169</v>
      </c>
      <c r="C163" s="6">
        <v>6</v>
      </c>
      <c r="D163" s="6" t="s">
        <v>163</v>
      </c>
      <c r="F163" s="4" t="s">
        <v>24</v>
      </c>
      <c r="G163" s="4" t="s">
        <v>180</v>
      </c>
      <c r="H163" s="4" t="s">
        <v>180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C2094-1972-4140-8FAD-817F5262C410}">
  <dimension ref="A1:AZ418"/>
  <sheetViews>
    <sheetView workbookViewId="0">
      <selection activeCell="A2" sqref="A2"/>
    </sheetView>
  </sheetViews>
  <sheetFormatPr baseColWidth="10" defaultRowHeight="16" x14ac:dyDescent="0.2"/>
  <cols>
    <col min="1" max="1" width="17.5" style="4" customWidth="1"/>
    <col min="2" max="2" width="26.6640625" style="4" customWidth="1"/>
    <col min="3" max="3" width="21.5" style="4" customWidth="1"/>
    <col min="4" max="4" width="14.1640625" style="4" customWidth="1"/>
    <col min="5" max="9" width="10.83203125" style="4"/>
    <col min="10" max="10" width="12.83203125" style="4" customWidth="1"/>
    <col min="11" max="15" width="10.83203125" style="4"/>
    <col min="16" max="16" width="13.1640625" style="4" customWidth="1"/>
    <col min="17" max="21" width="10.83203125" style="4"/>
    <col min="22" max="22" width="13" style="4" customWidth="1"/>
    <col min="23" max="27" width="10.83203125" style="4"/>
    <col min="28" max="28" width="12.83203125" style="4" customWidth="1"/>
    <col min="29" max="33" width="10.83203125" style="4"/>
    <col min="34" max="34" width="12.83203125" style="4" customWidth="1"/>
    <col min="35" max="40" width="10.83203125" style="4"/>
    <col min="41" max="41" width="35.5" style="4" customWidth="1"/>
    <col min="42" max="42" width="15.6640625" style="4" customWidth="1"/>
    <col min="43" max="43" width="18.83203125" style="4" customWidth="1"/>
    <col min="44" max="44" width="17.1640625" style="4" customWidth="1"/>
    <col min="45" max="45" width="13.5" style="4" customWidth="1"/>
    <col min="46" max="46" width="14.5" style="4" customWidth="1"/>
    <col min="47" max="16384" width="10.83203125" style="4"/>
  </cols>
  <sheetData>
    <row r="1" spans="1:52" x14ac:dyDescent="0.2">
      <c r="A1" s="4" t="s">
        <v>213</v>
      </c>
    </row>
    <row r="2" spans="1:52" x14ac:dyDescent="0.2">
      <c r="A2" s="4" t="s">
        <v>214</v>
      </c>
    </row>
    <row r="3" spans="1:52" x14ac:dyDescent="0.2">
      <c r="A3" s="24" t="s">
        <v>2</v>
      </c>
      <c r="D3" s="37" t="s">
        <v>222</v>
      </c>
      <c r="E3" s="38"/>
      <c r="F3" s="38"/>
      <c r="G3" s="39"/>
      <c r="H3" s="13"/>
      <c r="J3" s="37" t="s">
        <v>223</v>
      </c>
      <c r="K3" s="38"/>
      <c r="L3" s="38"/>
      <c r="M3" s="39"/>
      <c r="N3" s="13"/>
      <c r="P3" s="37" t="s">
        <v>224</v>
      </c>
      <c r="Q3" s="38"/>
      <c r="R3" s="38"/>
      <c r="S3" s="39"/>
      <c r="T3" s="13"/>
      <c r="V3" s="37" t="s">
        <v>229</v>
      </c>
      <c r="W3" s="38"/>
      <c r="X3" s="38"/>
      <c r="Y3" s="39"/>
      <c r="Z3" s="13"/>
      <c r="AB3" s="37" t="s">
        <v>230</v>
      </c>
      <c r="AC3" s="38"/>
      <c r="AD3" s="38"/>
      <c r="AE3" s="39"/>
      <c r="AH3" s="37" t="s">
        <v>231</v>
      </c>
      <c r="AI3" s="38"/>
      <c r="AJ3" s="38"/>
      <c r="AK3" s="39"/>
    </row>
    <row r="4" spans="1:52" ht="51" x14ac:dyDescent="0.2">
      <c r="A4" s="25" t="s">
        <v>215</v>
      </c>
      <c r="B4" s="25" t="s">
        <v>217</v>
      </c>
      <c r="C4" s="25" t="s">
        <v>216</v>
      </c>
      <c r="D4" s="25" t="s">
        <v>219</v>
      </c>
      <c r="E4" s="29" t="s">
        <v>153</v>
      </c>
      <c r="F4" s="29" t="s">
        <v>155</v>
      </c>
      <c r="G4" s="25" t="s">
        <v>218</v>
      </c>
      <c r="H4" s="25"/>
      <c r="J4" s="25" t="s">
        <v>219</v>
      </c>
      <c r="K4" s="29" t="s">
        <v>153</v>
      </c>
      <c r="L4" s="29" t="s">
        <v>155</v>
      </c>
      <c r="M4" s="25" t="s">
        <v>218</v>
      </c>
      <c r="N4" s="25"/>
      <c r="P4" s="25" t="s">
        <v>219</v>
      </c>
      <c r="Q4" s="29" t="s">
        <v>153</v>
      </c>
      <c r="R4" s="29" t="s">
        <v>155</v>
      </c>
      <c r="S4" s="25" t="s">
        <v>218</v>
      </c>
      <c r="T4" s="25"/>
      <c r="V4" s="25" t="s">
        <v>219</v>
      </c>
      <c r="W4" s="29" t="s">
        <v>153</v>
      </c>
      <c r="X4" s="29" t="s">
        <v>155</v>
      </c>
      <c r="Y4" s="25" t="s">
        <v>218</v>
      </c>
      <c r="Z4" s="25"/>
      <c r="AB4" s="25" t="s">
        <v>219</v>
      </c>
      <c r="AC4" s="29" t="s">
        <v>153</v>
      </c>
      <c r="AD4" s="29" t="s">
        <v>155</v>
      </c>
      <c r="AE4" s="25" t="s">
        <v>218</v>
      </c>
      <c r="AH4" s="25" t="s">
        <v>219</v>
      </c>
      <c r="AI4" s="29" t="s">
        <v>153</v>
      </c>
      <c r="AJ4" s="29" t="s">
        <v>155</v>
      </c>
      <c r="AK4" s="25" t="s">
        <v>218</v>
      </c>
      <c r="AO4" s="4" t="s">
        <v>212</v>
      </c>
    </row>
    <row r="5" spans="1:52" x14ac:dyDescent="0.2">
      <c r="A5" s="34">
        <v>1</v>
      </c>
      <c r="B5" s="32" t="s">
        <v>0</v>
      </c>
      <c r="C5" s="5" t="s">
        <v>220</v>
      </c>
      <c r="D5" s="5">
        <v>1</v>
      </c>
      <c r="E5" s="5" t="s">
        <v>174</v>
      </c>
      <c r="F5" s="30">
        <v>26.97</v>
      </c>
      <c r="G5" s="30">
        <v>7318</v>
      </c>
      <c r="H5" s="30"/>
      <c r="I5" s="5"/>
      <c r="J5" s="5">
        <v>1</v>
      </c>
      <c r="K5" s="5" t="s">
        <v>174</v>
      </c>
      <c r="L5" s="30">
        <v>44.76</v>
      </c>
      <c r="M5" s="30">
        <v>7347</v>
      </c>
      <c r="N5" s="5"/>
      <c r="O5" s="5"/>
      <c r="P5" s="5">
        <v>1</v>
      </c>
      <c r="Q5" s="5" t="s">
        <v>174</v>
      </c>
      <c r="R5" s="30">
        <v>21.22</v>
      </c>
      <c r="S5" s="30">
        <v>3346</v>
      </c>
      <c r="T5" s="5"/>
      <c r="U5" s="5"/>
      <c r="V5" s="5">
        <v>1</v>
      </c>
      <c r="W5" s="5" t="s">
        <v>176</v>
      </c>
      <c r="X5" s="30">
        <v>23.96</v>
      </c>
      <c r="Y5" s="30">
        <v>3109</v>
      </c>
      <c r="Z5" s="5"/>
      <c r="AA5" s="5"/>
      <c r="AB5" s="5">
        <v>1</v>
      </c>
      <c r="AC5" s="31" t="s">
        <v>173</v>
      </c>
      <c r="AD5" s="30">
        <v>10.4</v>
      </c>
      <c r="AE5" s="30">
        <v>3696</v>
      </c>
      <c r="AF5" s="5"/>
      <c r="AG5" s="5"/>
      <c r="AH5" s="5">
        <v>1</v>
      </c>
      <c r="AI5" s="5" t="s">
        <v>180</v>
      </c>
      <c r="AJ5" s="5" t="s">
        <v>180</v>
      </c>
      <c r="AK5" s="5" t="s">
        <v>180</v>
      </c>
      <c r="AO5" s="4" t="s">
        <v>252</v>
      </c>
      <c r="AP5" s="4" t="s">
        <v>10</v>
      </c>
      <c r="AQ5" s="4" t="s">
        <v>11</v>
      </c>
      <c r="AR5" s="4" t="s">
        <v>36</v>
      </c>
      <c r="AS5" s="4" t="s">
        <v>37</v>
      </c>
      <c r="AT5" s="4" t="s">
        <v>38</v>
      </c>
      <c r="AU5" s="4" t="s">
        <v>39</v>
      </c>
      <c r="AV5" s="4" t="s">
        <v>15</v>
      </c>
      <c r="AW5" s="4" t="s">
        <v>40</v>
      </c>
      <c r="AX5" s="4" t="s">
        <v>41</v>
      </c>
      <c r="AY5" s="4" t="s">
        <v>42</v>
      </c>
      <c r="AZ5" s="4" t="s">
        <v>43</v>
      </c>
    </row>
    <row r="6" spans="1:52" x14ac:dyDescent="0.2">
      <c r="A6" s="34">
        <v>2</v>
      </c>
      <c r="B6" s="32" t="s">
        <v>4</v>
      </c>
      <c r="C6" s="5" t="s">
        <v>220</v>
      </c>
      <c r="D6" s="5">
        <v>1</v>
      </c>
      <c r="E6" s="5" t="s">
        <v>174</v>
      </c>
      <c r="F6" s="30">
        <v>29.81</v>
      </c>
      <c r="G6" s="30">
        <v>7767</v>
      </c>
      <c r="H6" s="30"/>
      <c r="I6" s="5"/>
      <c r="J6" s="5">
        <v>1</v>
      </c>
      <c r="K6" s="5" t="s">
        <v>174</v>
      </c>
      <c r="L6" s="30">
        <v>49.64</v>
      </c>
      <c r="M6" s="30">
        <v>7917</v>
      </c>
      <c r="N6" s="5"/>
      <c r="O6" s="5"/>
      <c r="P6" s="5">
        <v>1</v>
      </c>
      <c r="Q6" s="5" t="s">
        <v>174</v>
      </c>
      <c r="R6" s="30">
        <v>23.82</v>
      </c>
      <c r="S6" s="30">
        <v>3451</v>
      </c>
      <c r="T6" s="5"/>
      <c r="U6" s="5"/>
      <c r="V6" s="5">
        <v>1</v>
      </c>
      <c r="W6" s="5" t="s">
        <v>174</v>
      </c>
      <c r="X6" s="30">
        <v>36.71</v>
      </c>
      <c r="Y6" s="30">
        <v>3204</v>
      </c>
      <c r="Z6" s="5"/>
      <c r="AA6" s="5"/>
      <c r="AB6" s="5">
        <v>1</v>
      </c>
      <c r="AC6" s="31" t="s">
        <v>173</v>
      </c>
      <c r="AD6" s="30">
        <v>11.72</v>
      </c>
      <c r="AE6" s="30">
        <v>3825</v>
      </c>
      <c r="AF6" s="5"/>
      <c r="AG6" s="5"/>
      <c r="AH6" s="5">
        <v>1</v>
      </c>
      <c r="AI6" s="5" t="s">
        <v>180</v>
      </c>
      <c r="AJ6" s="5" t="s">
        <v>180</v>
      </c>
      <c r="AK6" s="5" t="s">
        <v>180</v>
      </c>
      <c r="AO6" s="4" t="s">
        <v>2</v>
      </c>
      <c r="AP6" s="36">
        <v>0.96199999999999997</v>
      </c>
      <c r="AQ6" s="36">
        <v>0.92300000000000004</v>
      </c>
      <c r="AR6" s="36">
        <v>0.75</v>
      </c>
      <c r="AS6" s="36">
        <v>0.42300000000000004</v>
      </c>
      <c r="AT6" s="36">
        <v>0.48099999999999998</v>
      </c>
      <c r="AU6" s="36">
        <v>0.32700000000000001</v>
      </c>
      <c r="AV6" s="36">
        <v>0.1925</v>
      </c>
      <c r="AW6" s="36">
        <v>0.82750000000000001</v>
      </c>
      <c r="AX6" s="36">
        <v>0.48050000000000004</v>
      </c>
      <c r="AY6" s="36">
        <v>0</v>
      </c>
      <c r="AZ6" s="36">
        <v>0</v>
      </c>
    </row>
    <row r="7" spans="1:52" x14ac:dyDescent="0.2">
      <c r="A7" s="34">
        <v>3</v>
      </c>
      <c r="B7" s="32" t="s">
        <v>8</v>
      </c>
      <c r="C7" s="5" t="s">
        <v>220</v>
      </c>
      <c r="D7" s="5">
        <v>1</v>
      </c>
      <c r="E7" s="5" t="s">
        <v>174</v>
      </c>
      <c r="F7" s="30">
        <v>60.51</v>
      </c>
      <c r="G7" s="30">
        <v>13673</v>
      </c>
      <c r="H7" s="30"/>
      <c r="I7" s="5"/>
      <c r="J7" s="5">
        <v>1</v>
      </c>
      <c r="K7" s="5" t="s">
        <v>174</v>
      </c>
      <c r="L7" s="30">
        <v>60.92</v>
      </c>
      <c r="M7" s="30">
        <v>9124</v>
      </c>
      <c r="N7" s="5"/>
      <c r="O7" s="5"/>
      <c r="P7" s="5">
        <v>1</v>
      </c>
      <c r="Q7" s="5" t="s">
        <v>176</v>
      </c>
      <c r="R7" s="30">
        <v>33.049999999999997</v>
      </c>
      <c r="S7" s="30">
        <v>3591</v>
      </c>
      <c r="T7" s="5"/>
      <c r="U7" s="5"/>
      <c r="V7" s="5">
        <v>1</v>
      </c>
      <c r="W7" s="5" t="s">
        <v>176</v>
      </c>
      <c r="X7" s="30">
        <v>37.33</v>
      </c>
      <c r="Y7" s="30">
        <v>3331</v>
      </c>
      <c r="Z7" s="5"/>
      <c r="AA7" s="5"/>
      <c r="AB7" s="5">
        <v>1</v>
      </c>
      <c r="AC7" s="31" t="s">
        <v>173</v>
      </c>
      <c r="AD7" s="30">
        <v>12.7</v>
      </c>
      <c r="AE7" s="30">
        <v>3990</v>
      </c>
      <c r="AF7" s="5"/>
      <c r="AG7" s="5"/>
      <c r="AH7" s="5">
        <v>1</v>
      </c>
      <c r="AI7" s="5" t="s">
        <v>180</v>
      </c>
      <c r="AJ7" s="5" t="s">
        <v>180</v>
      </c>
      <c r="AK7" s="5" t="s">
        <v>180</v>
      </c>
      <c r="AO7" s="4" t="s">
        <v>232</v>
      </c>
      <c r="AP7" s="36">
        <v>1</v>
      </c>
      <c r="AQ7" s="36">
        <v>0.98360655737704916</v>
      </c>
      <c r="AR7" s="36">
        <v>0.95081967213114749</v>
      </c>
      <c r="AS7" s="36">
        <v>0.58196721311475408</v>
      </c>
      <c r="AT7" s="36">
        <v>0.68852459016393441</v>
      </c>
      <c r="AU7" s="36">
        <v>0.74590163934426235</v>
      </c>
      <c r="AV7" s="36">
        <v>0.64754098360655732</v>
      </c>
      <c r="AW7" s="36">
        <v>0.64754098360655732</v>
      </c>
      <c r="AX7" s="36">
        <v>0.45901639344262296</v>
      </c>
      <c r="AY7" s="36">
        <v>0.25800000000000001</v>
      </c>
      <c r="AZ7" s="36">
        <v>0.33850000000000002</v>
      </c>
    </row>
    <row r="8" spans="1:52" x14ac:dyDescent="0.2">
      <c r="A8" s="34">
        <v>4</v>
      </c>
      <c r="B8" s="32" t="s">
        <v>12</v>
      </c>
      <c r="C8" s="5" t="s">
        <v>220</v>
      </c>
      <c r="D8" s="5">
        <v>1</v>
      </c>
      <c r="E8" s="5" t="s">
        <v>174</v>
      </c>
      <c r="F8" s="30">
        <v>60.38</v>
      </c>
      <c r="G8" s="30">
        <v>13764</v>
      </c>
      <c r="H8" s="30"/>
      <c r="I8" s="5"/>
      <c r="J8" s="5">
        <v>1</v>
      </c>
      <c r="K8" s="5" t="s">
        <v>174</v>
      </c>
      <c r="L8" s="30">
        <v>80.040000000000006</v>
      </c>
      <c r="M8" s="30">
        <v>11073</v>
      </c>
      <c r="N8" s="5"/>
      <c r="O8" s="5"/>
      <c r="P8" s="5">
        <v>1</v>
      </c>
      <c r="Q8" s="5" t="s">
        <v>176</v>
      </c>
      <c r="R8" s="30">
        <v>26.69</v>
      </c>
      <c r="S8" s="30">
        <v>3726</v>
      </c>
      <c r="T8" s="5"/>
      <c r="U8" s="5"/>
      <c r="V8" s="5">
        <v>1</v>
      </c>
      <c r="W8" s="5" t="s">
        <v>174</v>
      </c>
      <c r="X8" s="30">
        <v>29.76</v>
      </c>
      <c r="Y8" s="30">
        <v>3526</v>
      </c>
      <c r="Z8" s="5"/>
      <c r="AA8" s="5"/>
      <c r="AB8" s="5">
        <v>1</v>
      </c>
      <c r="AC8" s="31" t="s">
        <v>173</v>
      </c>
      <c r="AD8" s="30">
        <v>12.55</v>
      </c>
      <c r="AE8" s="30">
        <v>4149</v>
      </c>
      <c r="AF8" s="5"/>
      <c r="AG8" s="5"/>
      <c r="AH8" s="5">
        <v>1</v>
      </c>
      <c r="AI8" s="5" t="s">
        <v>180</v>
      </c>
      <c r="AJ8" s="5" t="s">
        <v>180</v>
      </c>
      <c r="AK8" s="5" t="s">
        <v>180</v>
      </c>
      <c r="AO8" s="4" t="s">
        <v>251</v>
      </c>
      <c r="AP8" s="36">
        <v>0.88100000000000001</v>
      </c>
      <c r="AQ8" s="36">
        <v>0.66700000000000004</v>
      </c>
      <c r="AR8" s="36">
        <v>0.57099999999999995</v>
      </c>
      <c r="AS8" s="36">
        <v>0.16650000000000001</v>
      </c>
      <c r="AT8" s="36">
        <v>0.14299999999999999</v>
      </c>
      <c r="AU8" s="36">
        <v>0.88100000000000001</v>
      </c>
      <c r="AV8" s="36">
        <v>0.81</v>
      </c>
      <c r="AW8" s="36">
        <v>9.5500000000000002E-2</v>
      </c>
      <c r="AX8" s="36">
        <v>0.61899999999999999</v>
      </c>
      <c r="AY8" s="36">
        <v>0.73799999999999999</v>
      </c>
      <c r="AZ8" s="36">
        <v>0.76200000000000001</v>
      </c>
    </row>
    <row r="9" spans="1:52" x14ac:dyDescent="0.2">
      <c r="A9" s="34">
        <v>5</v>
      </c>
      <c r="B9" s="32" t="s">
        <v>20</v>
      </c>
      <c r="C9" s="5" t="s">
        <v>220</v>
      </c>
      <c r="D9" s="5">
        <v>1</v>
      </c>
      <c r="E9" s="5" t="s">
        <v>174</v>
      </c>
      <c r="F9" s="30">
        <v>65.08</v>
      </c>
      <c r="G9" s="30">
        <v>14736</v>
      </c>
      <c r="H9" s="30"/>
      <c r="I9" s="5"/>
      <c r="J9" s="5">
        <v>1</v>
      </c>
      <c r="K9" s="5" t="s">
        <v>174</v>
      </c>
      <c r="L9" s="30">
        <v>49.03</v>
      </c>
      <c r="M9" s="30">
        <v>8223</v>
      </c>
      <c r="N9" s="5"/>
      <c r="O9" s="5"/>
      <c r="P9" s="5">
        <v>1</v>
      </c>
      <c r="Q9" s="5" t="s">
        <v>174</v>
      </c>
      <c r="R9" s="30">
        <v>25.73</v>
      </c>
      <c r="S9" s="30">
        <v>3814</v>
      </c>
      <c r="T9" s="5"/>
      <c r="U9" s="5"/>
      <c r="V9" s="5">
        <v>1</v>
      </c>
      <c r="W9" s="5" t="s">
        <v>176</v>
      </c>
      <c r="X9" s="30">
        <v>27.91</v>
      </c>
      <c r="Y9" s="30">
        <v>3488</v>
      </c>
      <c r="Z9" s="5"/>
      <c r="AA9" s="5"/>
      <c r="AB9" s="5">
        <v>1</v>
      </c>
      <c r="AC9" s="31" t="s">
        <v>173</v>
      </c>
      <c r="AD9" s="30">
        <v>14.82</v>
      </c>
      <c r="AE9" s="30">
        <v>4259</v>
      </c>
      <c r="AF9" s="5"/>
      <c r="AG9" s="5"/>
      <c r="AH9" s="5">
        <v>1</v>
      </c>
      <c r="AI9" s="5" t="s">
        <v>180</v>
      </c>
      <c r="AJ9" s="5" t="s">
        <v>180</v>
      </c>
      <c r="AK9" s="5" t="s">
        <v>180</v>
      </c>
      <c r="AO9" s="4" t="s">
        <v>44</v>
      </c>
      <c r="AP9" s="36">
        <v>0.83399999999999996</v>
      </c>
      <c r="AQ9" s="36">
        <v>0.53649999999999998</v>
      </c>
      <c r="AR9" s="36">
        <v>0.40349999999999997</v>
      </c>
      <c r="AS9" s="36">
        <v>0.112</v>
      </c>
      <c r="AT9" s="36">
        <v>0.08</v>
      </c>
      <c r="AU9" s="36">
        <v>0.748</v>
      </c>
      <c r="AV9" s="36">
        <v>0.60299999999999998</v>
      </c>
      <c r="AW9" s="36">
        <v>6.0499999999999998E-2</v>
      </c>
      <c r="AX9" s="36">
        <v>0.4385</v>
      </c>
      <c r="AY9" s="36">
        <v>0.51</v>
      </c>
      <c r="AZ9" s="36">
        <v>0.26700000000000002</v>
      </c>
    </row>
    <row r="10" spans="1:52" x14ac:dyDescent="0.2">
      <c r="A10" s="34">
        <v>6</v>
      </c>
      <c r="B10" s="32" t="s">
        <v>23</v>
      </c>
      <c r="C10" s="5" t="s">
        <v>220</v>
      </c>
      <c r="D10" s="5">
        <v>1</v>
      </c>
      <c r="E10" s="5" t="s">
        <v>174</v>
      </c>
      <c r="F10" s="30">
        <v>52.28</v>
      </c>
      <c r="G10" s="30">
        <v>12408</v>
      </c>
      <c r="H10" s="30"/>
      <c r="I10" s="5"/>
      <c r="J10" s="5">
        <v>1</v>
      </c>
      <c r="K10" s="5" t="s">
        <v>174</v>
      </c>
      <c r="L10" s="30">
        <v>77.72</v>
      </c>
      <c r="M10" s="30">
        <v>11119</v>
      </c>
      <c r="N10" s="5"/>
      <c r="O10" s="5"/>
      <c r="P10" s="5">
        <v>1</v>
      </c>
      <c r="Q10" s="5" t="s">
        <v>174</v>
      </c>
      <c r="R10" s="30">
        <v>25.79</v>
      </c>
      <c r="S10" s="30">
        <v>3849</v>
      </c>
      <c r="T10" s="5"/>
      <c r="U10" s="5"/>
      <c r="V10" s="5">
        <v>1</v>
      </c>
      <c r="W10" s="5" t="s">
        <v>176</v>
      </c>
      <c r="X10" s="30">
        <v>27.5</v>
      </c>
      <c r="Y10" s="30">
        <v>3459</v>
      </c>
      <c r="Z10" s="5"/>
      <c r="AA10" s="5"/>
      <c r="AB10" s="5">
        <v>1</v>
      </c>
      <c r="AC10" s="31" t="s">
        <v>173</v>
      </c>
      <c r="AD10" s="30">
        <v>13.72</v>
      </c>
      <c r="AE10" s="30">
        <v>4269</v>
      </c>
      <c r="AF10" s="5"/>
      <c r="AG10" s="5"/>
      <c r="AH10" s="5">
        <v>1</v>
      </c>
      <c r="AI10" s="5" t="s">
        <v>180</v>
      </c>
      <c r="AJ10" s="5" t="s">
        <v>180</v>
      </c>
      <c r="AK10" s="5" t="s">
        <v>180</v>
      </c>
      <c r="AO10" s="4" t="s">
        <v>246</v>
      </c>
      <c r="AP10" s="36">
        <v>0.76</v>
      </c>
      <c r="AQ10" s="36">
        <v>0.75329999999999997</v>
      </c>
      <c r="AR10" s="36">
        <v>0.55010000000000003</v>
      </c>
      <c r="AS10" s="36">
        <v>0.74</v>
      </c>
      <c r="AT10" s="36">
        <v>0.38</v>
      </c>
      <c r="AU10" s="36">
        <v>0.49330000000000002</v>
      </c>
      <c r="AV10" s="36">
        <v>0.4199</v>
      </c>
      <c r="AW10" s="36">
        <v>0.52669999999999995</v>
      </c>
      <c r="AX10" s="36">
        <v>0.54669999999999996</v>
      </c>
      <c r="AY10" s="36">
        <v>0</v>
      </c>
      <c r="AZ10" s="36">
        <v>0</v>
      </c>
    </row>
    <row r="11" spans="1:52" x14ac:dyDescent="0.2">
      <c r="A11" s="34">
        <v>7</v>
      </c>
      <c r="B11" s="32" t="s">
        <v>26</v>
      </c>
      <c r="C11" s="5" t="s">
        <v>220</v>
      </c>
      <c r="D11" s="5">
        <v>1</v>
      </c>
      <c r="E11" s="5" t="s">
        <v>174</v>
      </c>
      <c r="F11" s="30">
        <v>41.22</v>
      </c>
      <c r="G11" s="30">
        <v>9852</v>
      </c>
      <c r="H11" s="30"/>
      <c r="I11" s="5"/>
      <c r="J11" s="5">
        <v>1</v>
      </c>
      <c r="K11" s="5" t="s">
        <v>176</v>
      </c>
      <c r="L11" s="30">
        <v>38.14</v>
      </c>
      <c r="M11" s="30">
        <v>6538</v>
      </c>
      <c r="N11" s="5"/>
      <c r="O11" s="5"/>
      <c r="P11" s="5">
        <v>1</v>
      </c>
      <c r="Q11" s="5" t="s">
        <v>174</v>
      </c>
      <c r="R11" s="30">
        <v>22.38</v>
      </c>
      <c r="S11" s="30">
        <v>3443</v>
      </c>
      <c r="T11" s="5"/>
      <c r="U11" s="5"/>
      <c r="V11" s="5">
        <v>1</v>
      </c>
      <c r="W11" s="5" t="s">
        <v>174</v>
      </c>
      <c r="X11" s="30">
        <v>29.65</v>
      </c>
      <c r="Y11" s="30">
        <v>3190</v>
      </c>
      <c r="Z11" s="5"/>
      <c r="AA11" s="5"/>
      <c r="AB11" s="5">
        <v>1</v>
      </c>
      <c r="AC11" s="31" t="s">
        <v>173</v>
      </c>
      <c r="AD11" s="30">
        <v>12.85</v>
      </c>
      <c r="AE11" s="30">
        <v>4006</v>
      </c>
      <c r="AF11" s="5"/>
      <c r="AG11" s="5"/>
      <c r="AH11" s="5">
        <v>1</v>
      </c>
      <c r="AI11" s="5" t="s">
        <v>180</v>
      </c>
      <c r="AJ11" s="5" t="s">
        <v>180</v>
      </c>
      <c r="AK11" s="5" t="s">
        <v>180</v>
      </c>
      <c r="AO11" s="4" t="s">
        <v>249</v>
      </c>
      <c r="AP11" s="36">
        <v>1</v>
      </c>
      <c r="AQ11" s="36">
        <v>1</v>
      </c>
      <c r="AR11" s="36">
        <v>1</v>
      </c>
      <c r="AS11" s="36">
        <v>1</v>
      </c>
      <c r="AT11" s="36">
        <v>0.93799999999999994</v>
      </c>
      <c r="AU11" s="36">
        <v>0.96899999999999997</v>
      </c>
      <c r="AV11" s="36">
        <v>0.84350000000000003</v>
      </c>
      <c r="AW11" s="36">
        <v>0.93799999999999994</v>
      </c>
      <c r="AX11" s="36">
        <v>0.78125</v>
      </c>
      <c r="AY11" s="36">
        <v>0.5</v>
      </c>
      <c r="AZ11" s="36">
        <v>0.438</v>
      </c>
    </row>
    <row r="12" spans="1:52" x14ac:dyDescent="0.2">
      <c r="A12" s="34">
        <v>8</v>
      </c>
      <c r="B12" s="32" t="s">
        <v>27</v>
      </c>
      <c r="C12" s="5" t="s">
        <v>220</v>
      </c>
      <c r="D12" s="5">
        <v>1</v>
      </c>
      <c r="E12" s="5" t="s">
        <v>174</v>
      </c>
      <c r="F12" s="30">
        <v>41.01</v>
      </c>
      <c r="G12" s="30">
        <v>10023</v>
      </c>
      <c r="H12" s="30"/>
      <c r="I12" s="5"/>
      <c r="J12" s="5">
        <v>1</v>
      </c>
      <c r="K12" s="5" t="s">
        <v>174</v>
      </c>
      <c r="L12" s="30">
        <v>89.6</v>
      </c>
      <c r="M12" s="30">
        <v>11941</v>
      </c>
      <c r="N12" s="5"/>
      <c r="O12" s="5"/>
      <c r="P12" s="5">
        <v>1</v>
      </c>
      <c r="Q12" s="5" t="s">
        <v>176</v>
      </c>
      <c r="R12" s="30">
        <v>68.349999999999994</v>
      </c>
      <c r="S12" s="30">
        <v>4328</v>
      </c>
      <c r="T12" s="5"/>
      <c r="U12" s="5"/>
      <c r="V12" s="5">
        <v>1</v>
      </c>
      <c r="W12" s="5" t="s">
        <v>176</v>
      </c>
      <c r="X12" s="30">
        <v>53.85</v>
      </c>
      <c r="Y12" s="30">
        <v>3697</v>
      </c>
      <c r="Z12" s="5"/>
      <c r="AA12" s="5"/>
      <c r="AB12" s="5">
        <v>1</v>
      </c>
      <c r="AC12" s="31" t="s">
        <v>173</v>
      </c>
      <c r="AD12" s="30">
        <v>15.64</v>
      </c>
      <c r="AE12" s="30">
        <v>4116</v>
      </c>
      <c r="AF12" s="5"/>
      <c r="AG12" s="5"/>
      <c r="AH12" s="5">
        <v>1</v>
      </c>
      <c r="AI12" s="5" t="s">
        <v>180</v>
      </c>
      <c r="AJ12" s="5" t="s">
        <v>180</v>
      </c>
      <c r="AK12" s="5" t="s">
        <v>180</v>
      </c>
    </row>
    <row r="13" spans="1:52" x14ac:dyDescent="0.2">
      <c r="A13" s="34">
        <v>9</v>
      </c>
      <c r="B13" s="32" t="s">
        <v>28</v>
      </c>
      <c r="C13" s="5" t="s">
        <v>220</v>
      </c>
      <c r="D13" s="5">
        <v>1</v>
      </c>
      <c r="E13" s="5" t="s">
        <v>174</v>
      </c>
      <c r="F13" s="30">
        <v>60.2</v>
      </c>
      <c r="G13" s="30">
        <v>14344</v>
      </c>
      <c r="H13" s="30"/>
      <c r="I13" s="5"/>
      <c r="J13" s="5">
        <v>1</v>
      </c>
      <c r="K13" s="5" t="s">
        <v>174</v>
      </c>
      <c r="L13" s="30">
        <v>92.99</v>
      </c>
      <c r="M13" s="30">
        <v>12149</v>
      </c>
      <c r="N13" s="5"/>
      <c r="O13" s="5"/>
      <c r="P13" s="5">
        <v>1</v>
      </c>
      <c r="Q13" s="5" t="s">
        <v>176</v>
      </c>
      <c r="R13" s="30">
        <v>45.33</v>
      </c>
      <c r="S13" s="30">
        <v>4206</v>
      </c>
      <c r="T13" s="5"/>
      <c r="U13" s="5"/>
      <c r="V13" s="5">
        <v>1</v>
      </c>
      <c r="W13" s="5" t="s">
        <v>176</v>
      </c>
      <c r="X13" s="30">
        <v>20.73</v>
      </c>
      <c r="Y13" s="30">
        <v>3136</v>
      </c>
      <c r="Z13" s="5"/>
      <c r="AA13" s="5"/>
      <c r="AB13" s="5">
        <v>1</v>
      </c>
      <c r="AC13" s="31" t="s">
        <v>175</v>
      </c>
      <c r="AD13" s="30">
        <v>22.4</v>
      </c>
      <c r="AE13" s="30">
        <v>4665</v>
      </c>
      <c r="AF13" s="5"/>
      <c r="AG13" s="5"/>
      <c r="AH13" s="5">
        <v>1</v>
      </c>
      <c r="AI13" s="5" t="s">
        <v>180</v>
      </c>
      <c r="AJ13" s="5" t="s">
        <v>180</v>
      </c>
      <c r="AK13" s="5" t="s">
        <v>180</v>
      </c>
      <c r="AO13" s="4" t="s">
        <v>253</v>
      </c>
      <c r="AP13" s="4" t="s">
        <v>10</v>
      </c>
      <c r="AQ13" s="4" t="s">
        <v>11</v>
      </c>
      <c r="AR13" s="4" t="s">
        <v>36</v>
      </c>
      <c r="AS13" s="4" t="s">
        <v>37</v>
      </c>
      <c r="AT13" s="4" t="s">
        <v>38</v>
      </c>
      <c r="AU13" s="4" t="s">
        <v>39</v>
      </c>
      <c r="AV13" s="4" t="s">
        <v>15</v>
      </c>
      <c r="AW13" s="4" t="s">
        <v>40</v>
      </c>
      <c r="AX13" s="4" t="s">
        <v>41</v>
      </c>
      <c r="AY13" s="4" t="s">
        <v>42</v>
      </c>
      <c r="AZ13" s="4" t="s">
        <v>43</v>
      </c>
    </row>
    <row r="14" spans="1:52" x14ac:dyDescent="0.2">
      <c r="A14" s="34">
        <v>10</v>
      </c>
      <c r="B14" s="32" t="s">
        <v>29</v>
      </c>
      <c r="C14" s="5" t="s">
        <v>220</v>
      </c>
      <c r="D14" s="5">
        <v>1</v>
      </c>
      <c r="E14" s="5" t="s">
        <v>174</v>
      </c>
      <c r="F14" s="30">
        <v>40.380000000000003</v>
      </c>
      <c r="G14" s="30">
        <v>10562</v>
      </c>
      <c r="H14" s="30"/>
      <c r="I14" s="5"/>
      <c r="J14" s="5">
        <v>1</v>
      </c>
      <c r="K14" s="5" t="s">
        <v>174</v>
      </c>
      <c r="L14" s="30">
        <v>50.13</v>
      </c>
      <c r="M14" s="30">
        <v>8619</v>
      </c>
      <c r="N14" s="5"/>
      <c r="O14" s="5"/>
      <c r="P14" s="5">
        <v>1</v>
      </c>
      <c r="Q14" s="5" t="s">
        <v>174</v>
      </c>
      <c r="R14" s="30">
        <v>39.56</v>
      </c>
      <c r="S14" s="30">
        <v>4521</v>
      </c>
      <c r="T14" s="5"/>
      <c r="U14" s="5"/>
      <c r="V14" s="5">
        <v>1</v>
      </c>
      <c r="W14" s="5" t="s">
        <v>176</v>
      </c>
      <c r="X14" s="30">
        <v>41.23</v>
      </c>
      <c r="Y14" s="30">
        <v>4180</v>
      </c>
      <c r="Z14" s="5"/>
      <c r="AA14" s="5"/>
      <c r="AB14" s="5">
        <v>1</v>
      </c>
      <c r="AC14" s="31" t="s">
        <v>173</v>
      </c>
      <c r="AD14" s="30">
        <v>14.29</v>
      </c>
      <c r="AE14" s="30">
        <v>5062</v>
      </c>
      <c r="AF14" s="5"/>
      <c r="AG14" s="5"/>
      <c r="AH14" s="5">
        <v>1</v>
      </c>
      <c r="AI14" s="5" t="s">
        <v>180</v>
      </c>
      <c r="AJ14" s="5" t="s">
        <v>180</v>
      </c>
      <c r="AK14" s="5" t="s">
        <v>180</v>
      </c>
      <c r="AO14" s="4" t="s">
        <v>2</v>
      </c>
      <c r="AP14" s="35">
        <v>45.225769229999997</v>
      </c>
      <c r="AQ14" s="35">
        <v>70.499230769999997</v>
      </c>
      <c r="AR14" s="35">
        <v>29.575576923076927</v>
      </c>
      <c r="AS14" s="35">
        <v>31.795000000000002</v>
      </c>
      <c r="AT14" s="35">
        <v>15.96</v>
      </c>
      <c r="AU14" s="35">
        <v>40.157499999999999</v>
      </c>
      <c r="AV14" s="35">
        <v>36.271730769230764</v>
      </c>
      <c r="AW14" s="35">
        <v>17.007692309999999</v>
      </c>
      <c r="AX14" s="35">
        <v>17.21</v>
      </c>
      <c r="AY14" s="35">
        <v>0</v>
      </c>
      <c r="AZ14" s="35">
        <v>0</v>
      </c>
    </row>
    <row r="15" spans="1:52" x14ac:dyDescent="0.2">
      <c r="A15" s="34">
        <v>11</v>
      </c>
      <c r="B15" s="32" t="s">
        <v>30</v>
      </c>
      <c r="C15" s="5" t="s">
        <v>220</v>
      </c>
      <c r="D15" s="5">
        <v>1</v>
      </c>
      <c r="E15" s="5" t="s">
        <v>174</v>
      </c>
      <c r="F15" s="30">
        <v>21.49</v>
      </c>
      <c r="G15" s="30">
        <v>7153</v>
      </c>
      <c r="H15" s="30"/>
      <c r="I15" s="5"/>
      <c r="J15" s="5">
        <v>1</v>
      </c>
      <c r="K15" s="5" t="s">
        <v>174</v>
      </c>
      <c r="L15" s="30">
        <v>84.55</v>
      </c>
      <c r="M15" s="30">
        <v>12375</v>
      </c>
      <c r="N15" s="5"/>
      <c r="O15" s="5"/>
      <c r="P15" s="5">
        <v>1</v>
      </c>
      <c r="Q15" s="5" t="s">
        <v>174</v>
      </c>
      <c r="R15" s="30">
        <v>39.49</v>
      </c>
      <c r="S15" s="30">
        <v>4632</v>
      </c>
      <c r="T15" s="5"/>
      <c r="U15" s="5"/>
      <c r="V15" s="5">
        <v>1</v>
      </c>
      <c r="W15" s="5" t="s">
        <v>176</v>
      </c>
      <c r="X15" s="30">
        <v>57.51</v>
      </c>
      <c r="Y15" s="30">
        <v>4321</v>
      </c>
      <c r="Z15" s="5"/>
      <c r="AA15" s="5"/>
      <c r="AB15" s="5">
        <v>1</v>
      </c>
      <c r="AC15" s="31" t="s">
        <v>173</v>
      </c>
      <c r="AD15" s="30">
        <v>14.43</v>
      </c>
      <c r="AE15" s="30">
        <v>5072</v>
      </c>
      <c r="AF15" s="5"/>
      <c r="AG15" s="5"/>
      <c r="AH15" s="5">
        <v>1</v>
      </c>
      <c r="AI15" s="5" t="s">
        <v>180</v>
      </c>
      <c r="AJ15" s="5" t="s">
        <v>180</v>
      </c>
      <c r="AK15" s="5" t="s">
        <v>180</v>
      </c>
      <c r="AO15" s="4" t="s">
        <v>232</v>
      </c>
      <c r="AP15" s="35">
        <v>6.4337295081967225</v>
      </c>
      <c r="AQ15" s="35">
        <v>16.36450819672131</v>
      </c>
      <c r="AR15" s="35">
        <v>10.708114754098361</v>
      </c>
      <c r="AS15" s="35">
        <v>8.0953278688524613</v>
      </c>
      <c r="AT15" s="35">
        <v>6.3571311475409829</v>
      </c>
      <c r="AU15" s="35">
        <v>11.381557377049184</v>
      </c>
      <c r="AV15" s="35">
        <v>18.49819672131148</v>
      </c>
      <c r="AW15" s="35">
        <v>7.7550819672131137</v>
      </c>
      <c r="AX15" s="35">
        <v>11.909180327868853</v>
      </c>
      <c r="AY15" s="35">
        <v>8.1050000000000004</v>
      </c>
      <c r="AZ15" s="35">
        <v>19.004999999999999</v>
      </c>
    </row>
    <row r="16" spans="1:52" x14ac:dyDescent="0.2">
      <c r="A16" s="34">
        <v>12</v>
      </c>
      <c r="B16" s="32" t="s">
        <v>31</v>
      </c>
      <c r="C16" s="5" t="s">
        <v>220</v>
      </c>
      <c r="D16" s="5">
        <v>1</v>
      </c>
      <c r="E16" s="5" t="s">
        <v>174</v>
      </c>
      <c r="F16" s="30">
        <v>38.79</v>
      </c>
      <c r="G16" s="30">
        <v>10356</v>
      </c>
      <c r="H16" s="30"/>
      <c r="I16" s="5"/>
      <c r="J16" s="5">
        <v>1</v>
      </c>
      <c r="K16" s="5" t="s">
        <v>174</v>
      </c>
      <c r="L16" s="30">
        <v>77.930000000000007</v>
      </c>
      <c r="M16" s="30">
        <v>11930</v>
      </c>
      <c r="N16" s="5"/>
      <c r="O16" s="5"/>
      <c r="P16" s="5">
        <v>1</v>
      </c>
      <c r="Q16" s="5" t="s">
        <v>176</v>
      </c>
      <c r="R16" s="30">
        <v>49.26</v>
      </c>
      <c r="S16" s="30">
        <v>5024</v>
      </c>
      <c r="T16" s="5"/>
      <c r="U16" s="5"/>
      <c r="V16" s="5">
        <v>1</v>
      </c>
      <c r="W16" s="5" t="s">
        <v>176</v>
      </c>
      <c r="X16" s="30">
        <v>53.12</v>
      </c>
      <c r="Y16" s="30">
        <v>4793</v>
      </c>
      <c r="Z16" s="5"/>
      <c r="AA16" s="5"/>
      <c r="AB16" s="5">
        <v>1</v>
      </c>
      <c r="AC16" s="31" t="s">
        <v>173</v>
      </c>
      <c r="AD16" s="30">
        <v>18.39</v>
      </c>
      <c r="AE16" s="30">
        <v>5389</v>
      </c>
      <c r="AF16" s="5"/>
      <c r="AG16" s="5"/>
      <c r="AH16" s="5">
        <v>1</v>
      </c>
      <c r="AI16" s="5" t="s">
        <v>180</v>
      </c>
      <c r="AJ16" s="5" t="s">
        <v>180</v>
      </c>
      <c r="AK16" s="5" t="s">
        <v>180</v>
      </c>
      <c r="AO16" s="4" t="s">
        <v>3</v>
      </c>
      <c r="AP16" s="35">
        <v>9.5</v>
      </c>
      <c r="AQ16" s="35">
        <v>45.685000000000002</v>
      </c>
      <c r="AR16" s="35">
        <v>5.8250000000000002</v>
      </c>
      <c r="AS16" s="35">
        <v>3.1850000000000001</v>
      </c>
      <c r="AT16" s="35">
        <v>3.8450000000000002</v>
      </c>
      <c r="AU16" s="35">
        <v>5.07</v>
      </c>
      <c r="AV16" s="35">
        <v>4.96</v>
      </c>
      <c r="AW16" s="35">
        <v>4.3499999999999996</v>
      </c>
      <c r="AX16" s="35">
        <v>4.1349999999999998</v>
      </c>
      <c r="AY16" s="35">
        <v>6.5949999999999998</v>
      </c>
      <c r="AZ16" s="35">
        <v>3.5750000000000002</v>
      </c>
    </row>
    <row r="17" spans="1:52" x14ac:dyDescent="0.2">
      <c r="A17" s="34">
        <v>13</v>
      </c>
      <c r="B17" s="32" t="s">
        <v>32</v>
      </c>
      <c r="C17" s="5" t="s">
        <v>220</v>
      </c>
      <c r="D17" s="5">
        <v>1</v>
      </c>
      <c r="E17" s="5" t="s">
        <v>176</v>
      </c>
      <c r="F17" s="30">
        <v>63.75</v>
      </c>
      <c r="G17" s="30">
        <v>15285</v>
      </c>
      <c r="H17" s="30"/>
      <c r="I17" s="5"/>
      <c r="J17" s="5">
        <v>1</v>
      </c>
      <c r="K17" s="5" t="s">
        <v>174</v>
      </c>
      <c r="L17" s="30">
        <v>62.74</v>
      </c>
      <c r="M17" s="30">
        <v>9989</v>
      </c>
      <c r="N17" s="5"/>
      <c r="O17" s="5"/>
      <c r="P17" s="5">
        <v>1</v>
      </c>
      <c r="Q17" s="5" t="s">
        <v>176</v>
      </c>
      <c r="R17" s="30">
        <v>37.630000000000003</v>
      </c>
      <c r="S17" s="30">
        <v>4732</v>
      </c>
      <c r="T17" s="5"/>
      <c r="U17" s="5"/>
      <c r="V17" s="5">
        <v>1</v>
      </c>
      <c r="W17" s="5" t="s">
        <v>176</v>
      </c>
      <c r="X17" s="30">
        <v>57.42</v>
      </c>
      <c r="Y17" s="30">
        <v>4693</v>
      </c>
      <c r="Z17" s="5"/>
      <c r="AA17" s="5"/>
      <c r="AB17" s="5">
        <v>1</v>
      </c>
      <c r="AC17" s="31" t="s">
        <v>175</v>
      </c>
      <c r="AD17" s="30">
        <v>20.34</v>
      </c>
      <c r="AE17" s="30">
        <v>5397</v>
      </c>
      <c r="AF17" s="5"/>
      <c r="AG17" s="5"/>
      <c r="AH17" s="5">
        <v>1</v>
      </c>
      <c r="AI17" s="5" t="s">
        <v>180</v>
      </c>
      <c r="AJ17" s="5" t="s">
        <v>180</v>
      </c>
      <c r="AK17" s="5" t="s">
        <v>180</v>
      </c>
      <c r="AO17" s="4" t="s">
        <v>246</v>
      </c>
      <c r="AP17" s="35">
        <v>8.1139928660000002</v>
      </c>
      <c r="AQ17" s="35">
        <v>26.064186190000001</v>
      </c>
      <c r="AR17" s="35">
        <v>10.306266669999999</v>
      </c>
      <c r="AS17" s="35">
        <v>9.1167444250000003</v>
      </c>
      <c r="AT17" s="35">
        <v>4.43</v>
      </c>
      <c r="AU17" s="35">
        <v>10.036666670000001</v>
      </c>
      <c r="AV17" s="35">
        <v>10.324912400000001</v>
      </c>
      <c r="AW17" s="35">
        <v>8.4100787849999996</v>
      </c>
      <c r="AX17" s="35">
        <v>9.5890666670000009</v>
      </c>
      <c r="AY17" s="35">
        <v>0</v>
      </c>
      <c r="AZ17" s="35">
        <v>0</v>
      </c>
    </row>
    <row r="18" spans="1:52" x14ac:dyDescent="0.2">
      <c r="A18" s="34">
        <v>14</v>
      </c>
      <c r="B18" s="32" t="s">
        <v>0</v>
      </c>
      <c r="C18" s="5" t="s">
        <v>221</v>
      </c>
      <c r="D18" s="5">
        <v>1</v>
      </c>
      <c r="E18" s="5" t="s">
        <v>174</v>
      </c>
      <c r="F18" s="30">
        <v>67.510000000000005</v>
      </c>
      <c r="G18" s="30">
        <v>15055</v>
      </c>
      <c r="H18" s="30"/>
      <c r="I18" s="5"/>
      <c r="J18" s="5">
        <v>1</v>
      </c>
      <c r="K18" s="5" t="s">
        <v>174</v>
      </c>
      <c r="L18" s="30">
        <v>46.26</v>
      </c>
      <c r="M18" s="30">
        <v>7551</v>
      </c>
      <c r="N18" s="5"/>
      <c r="O18" s="5"/>
      <c r="P18" s="5">
        <v>1</v>
      </c>
      <c r="Q18" s="5" t="s">
        <v>176</v>
      </c>
      <c r="R18" s="30">
        <v>20.51</v>
      </c>
      <c r="S18" s="30">
        <v>3221</v>
      </c>
      <c r="T18" s="5"/>
      <c r="U18" s="5"/>
      <c r="V18" s="5">
        <v>1</v>
      </c>
      <c r="W18" s="5" t="s">
        <v>174</v>
      </c>
      <c r="X18" s="30">
        <v>27.39</v>
      </c>
      <c r="Y18" s="30">
        <v>3138</v>
      </c>
      <c r="Z18" s="5"/>
      <c r="AA18" s="5"/>
      <c r="AB18" s="5">
        <v>1</v>
      </c>
      <c r="AC18" s="31" t="s">
        <v>173</v>
      </c>
      <c r="AD18" s="30">
        <v>11.08</v>
      </c>
      <c r="AE18" s="30">
        <v>3702</v>
      </c>
      <c r="AF18" s="5"/>
      <c r="AG18" s="5"/>
      <c r="AH18" s="5">
        <v>1</v>
      </c>
      <c r="AI18" s="5" t="s">
        <v>180</v>
      </c>
      <c r="AJ18" s="5" t="s">
        <v>180</v>
      </c>
      <c r="AK18" s="5" t="s">
        <v>180</v>
      </c>
      <c r="AO18" s="4" t="s">
        <v>249</v>
      </c>
      <c r="AP18" s="35">
        <v>8.3821875000000006</v>
      </c>
      <c r="AQ18" s="35">
        <v>15.617812499999999</v>
      </c>
      <c r="AR18" s="35">
        <v>13.539916666666667</v>
      </c>
      <c r="AS18" s="35">
        <v>9.0709374999999994</v>
      </c>
      <c r="AT18" s="35">
        <v>5.07</v>
      </c>
      <c r="AU18" s="35">
        <v>12.063333330000001</v>
      </c>
      <c r="AV18" s="35">
        <v>11.186249999999999</v>
      </c>
      <c r="AW18" s="35">
        <v>6.5928125</v>
      </c>
      <c r="AX18" s="35">
        <v>10.012500000000001</v>
      </c>
      <c r="AY18" s="35">
        <v>9.19</v>
      </c>
      <c r="AZ18" s="35">
        <v>18.100000000000001</v>
      </c>
    </row>
    <row r="19" spans="1:52" x14ac:dyDescent="0.2">
      <c r="A19" s="34">
        <v>15</v>
      </c>
      <c r="B19" s="32" t="s">
        <v>4</v>
      </c>
      <c r="C19" s="5" t="s">
        <v>221</v>
      </c>
      <c r="D19" s="5">
        <v>1</v>
      </c>
      <c r="E19" s="5" t="s">
        <v>174</v>
      </c>
      <c r="F19" s="30">
        <v>25.05</v>
      </c>
      <c r="G19" s="30">
        <v>6995</v>
      </c>
      <c r="H19" s="30"/>
      <c r="I19" s="5"/>
      <c r="J19" s="5">
        <v>1</v>
      </c>
      <c r="K19" s="5" t="s">
        <v>174</v>
      </c>
      <c r="L19" s="30">
        <v>67.489999999999995</v>
      </c>
      <c r="M19" s="30">
        <v>9851</v>
      </c>
      <c r="N19" s="5"/>
      <c r="O19" s="5"/>
      <c r="P19" s="5">
        <v>1</v>
      </c>
      <c r="Q19" s="5" t="s">
        <v>174</v>
      </c>
      <c r="R19" s="30">
        <v>24.07</v>
      </c>
      <c r="S19" s="30">
        <v>3436</v>
      </c>
      <c r="T19" s="5"/>
      <c r="U19" s="5"/>
      <c r="V19" s="5">
        <v>1</v>
      </c>
      <c r="W19" s="5" t="s">
        <v>174</v>
      </c>
      <c r="X19" s="30">
        <v>33.659999999999997</v>
      </c>
      <c r="Y19" s="30">
        <v>3200</v>
      </c>
      <c r="Z19" s="5"/>
      <c r="AA19" s="5"/>
      <c r="AB19" s="5">
        <v>1</v>
      </c>
      <c r="AC19" s="31" t="s">
        <v>173</v>
      </c>
      <c r="AD19" s="30">
        <v>12.05</v>
      </c>
      <c r="AE19" s="30">
        <v>3822</v>
      </c>
      <c r="AF19" s="5"/>
      <c r="AG19" s="5"/>
      <c r="AH19" s="5">
        <v>1</v>
      </c>
      <c r="AI19" s="5" t="s">
        <v>180</v>
      </c>
      <c r="AJ19" s="5" t="s">
        <v>180</v>
      </c>
      <c r="AK19" s="5" t="s">
        <v>180</v>
      </c>
      <c r="AO19" s="4" t="s">
        <v>255</v>
      </c>
      <c r="AP19" s="35">
        <v>86.160679104196717</v>
      </c>
      <c r="AQ19" s="35">
        <v>202.61698765672131</v>
      </c>
      <c r="AR19" s="35">
        <v>0</v>
      </c>
      <c r="AS19" s="35">
        <v>68.329259793852472</v>
      </c>
      <c r="AT19" s="35">
        <v>42.494631147540986</v>
      </c>
      <c r="AU19" s="35">
        <v>89.817807377049192</v>
      </c>
      <c r="AV19" s="35">
        <v>95.347339890542244</v>
      </c>
      <c r="AW19" s="35">
        <v>55.731915562213118</v>
      </c>
      <c r="AX19" s="35">
        <f>AVERAGE(AX14:AX18)</f>
        <v>10.57114939897377</v>
      </c>
      <c r="AY19" s="4" t="s">
        <v>180</v>
      </c>
      <c r="AZ19" s="35" t="s">
        <v>180</v>
      </c>
    </row>
    <row r="20" spans="1:52" x14ac:dyDescent="0.2">
      <c r="A20" s="34">
        <v>16</v>
      </c>
      <c r="B20" s="32" t="s">
        <v>8</v>
      </c>
      <c r="C20" s="5" t="s">
        <v>221</v>
      </c>
      <c r="D20" s="5">
        <v>1</v>
      </c>
      <c r="E20" s="5" t="s">
        <v>174</v>
      </c>
      <c r="F20" s="30">
        <v>23.16</v>
      </c>
      <c r="G20" s="30">
        <v>6746</v>
      </c>
      <c r="H20" s="30"/>
      <c r="I20" s="5"/>
      <c r="J20" s="5">
        <v>1</v>
      </c>
      <c r="K20" s="5" t="s">
        <v>174</v>
      </c>
      <c r="L20" s="30">
        <v>55.37</v>
      </c>
      <c r="M20" s="30">
        <v>8636</v>
      </c>
      <c r="N20" s="5"/>
      <c r="O20" s="5"/>
      <c r="P20" s="5">
        <v>1</v>
      </c>
      <c r="Q20" s="5" t="s">
        <v>174</v>
      </c>
      <c r="R20" s="30">
        <v>31.12</v>
      </c>
      <c r="S20" s="30">
        <v>3628</v>
      </c>
      <c r="T20" s="5"/>
      <c r="U20" s="5"/>
      <c r="V20" s="5">
        <v>1</v>
      </c>
      <c r="W20" s="5" t="s">
        <v>174</v>
      </c>
      <c r="X20" s="30">
        <v>65.16</v>
      </c>
      <c r="Y20" s="30">
        <v>3392</v>
      </c>
      <c r="Z20" s="5"/>
      <c r="AA20" s="5"/>
      <c r="AB20" s="5">
        <v>1</v>
      </c>
      <c r="AC20" s="31" t="s">
        <v>173</v>
      </c>
      <c r="AD20" s="30">
        <v>13.61</v>
      </c>
      <c r="AE20" s="30">
        <v>4060</v>
      </c>
      <c r="AF20" s="5"/>
      <c r="AG20" s="5"/>
      <c r="AH20" s="5">
        <v>1</v>
      </c>
      <c r="AI20" s="5" t="s">
        <v>180</v>
      </c>
      <c r="AJ20" s="5" t="s">
        <v>180</v>
      </c>
      <c r="AK20" s="5" t="s">
        <v>180</v>
      </c>
      <c r="AP20" s="35"/>
      <c r="AQ20" s="35"/>
      <c r="AR20" s="35"/>
      <c r="AS20" s="35"/>
      <c r="AT20" s="35"/>
      <c r="AU20" s="35"/>
      <c r="AV20" s="35"/>
      <c r="AW20" s="35"/>
      <c r="AX20" s="35"/>
      <c r="AY20" s="35"/>
      <c r="AZ20" s="35"/>
    </row>
    <row r="21" spans="1:52" x14ac:dyDescent="0.2">
      <c r="A21" s="34">
        <v>17</v>
      </c>
      <c r="B21" s="32" t="s">
        <v>12</v>
      </c>
      <c r="C21" s="5" t="s">
        <v>221</v>
      </c>
      <c r="D21" s="5">
        <v>1</v>
      </c>
      <c r="E21" s="5" t="s">
        <v>174</v>
      </c>
      <c r="F21" s="30">
        <v>27.54</v>
      </c>
      <c r="G21" s="30">
        <v>7776</v>
      </c>
      <c r="H21" s="30"/>
      <c r="I21" s="5"/>
      <c r="J21" s="5">
        <v>1</v>
      </c>
      <c r="K21" s="5" t="s">
        <v>174</v>
      </c>
      <c r="L21" s="30">
        <v>77.2</v>
      </c>
      <c r="M21" s="30">
        <v>10896</v>
      </c>
      <c r="N21" s="5"/>
      <c r="O21" s="5"/>
      <c r="P21" s="5">
        <v>1</v>
      </c>
      <c r="Q21" s="5" t="s">
        <v>176</v>
      </c>
      <c r="R21" s="30">
        <v>25.78</v>
      </c>
      <c r="S21" s="30">
        <v>3633</v>
      </c>
      <c r="T21" s="5"/>
      <c r="U21" s="5"/>
      <c r="V21" s="5">
        <v>1</v>
      </c>
      <c r="W21" s="5" t="s">
        <v>176</v>
      </c>
      <c r="X21" s="30">
        <v>30.82</v>
      </c>
      <c r="Y21" s="30">
        <v>3436</v>
      </c>
      <c r="Z21" s="5"/>
      <c r="AA21" s="5"/>
      <c r="AB21" s="5">
        <v>1</v>
      </c>
      <c r="AC21" s="31" t="s">
        <v>173</v>
      </c>
      <c r="AD21" s="30">
        <v>12.66</v>
      </c>
      <c r="AE21" s="30">
        <v>4126</v>
      </c>
      <c r="AF21" s="5"/>
      <c r="AG21" s="5"/>
      <c r="AH21" s="5">
        <v>1</v>
      </c>
      <c r="AI21" s="5" t="s">
        <v>180</v>
      </c>
      <c r="AJ21" s="5" t="s">
        <v>180</v>
      </c>
      <c r="AK21" s="5" t="s">
        <v>180</v>
      </c>
      <c r="AO21" s="4" t="s">
        <v>254</v>
      </c>
      <c r="AP21" s="35" t="s">
        <v>10</v>
      </c>
      <c r="AQ21" s="35" t="s">
        <v>11</v>
      </c>
      <c r="AR21" s="35" t="s">
        <v>36</v>
      </c>
      <c r="AS21" s="35" t="s">
        <v>37</v>
      </c>
      <c r="AT21" s="35" t="s">
        <v>38</v>
      </c>
      <c r="AU21" s="35" t="s">
        <v>39</v>
      </c>
      <c r="AV21" s="35" t="s">
        <v>15</v>
      </c>
      <c r="AW21" s="35" t="s">
        <v>40</v>
      </c>
      <c r="AX21" s="35" t="s">
        <v>41</v>
      </c>
      <c r="AY21" s="35" t="s">
        <v>42</v>
      </c>
      <c r="AZ21" s="35" t="s">
        <v>43</v>
      </c>
    </row>
    <row r="22" spans="1:52" x14ac:dyDescent="0.2">
      <c r="A22" s="34">
        <v>18</v>
      </c>
      <c r="B22" s="32" t="s">
        <v>20</v>
      </c>
      <c r="C22" s="5" t="s">
        <v>221</v>
      </c>
      <c r="D22" s="5">
        <v>1</v>
      </c>
      <c r="E22" s="5" t="s">
        <v>174</v>
      </c>
      <c r="F22" s="30">
        <v>32.090000000000003</v>
      </c>
      <c r="G22" s="30">
        <v>8659</v>
      </c>
      <c r="H22" s="30"/>
      <c r="I22" s="5"/>
      <c r="J22" s="5">
        <v>1</v>
      </c>
      <c r="K22" s="5" t="s">
        <v>174</v>
      </c>
      <c r="L22" s="30">
        <v>76.489999999999995</v>
      </c>
      <c r="M22" s="30">
        <v>10854</v>
      </c>
      <c r="N22" s="5"/>
      <c r="O22" s="5"/>
      <c r="P22" s="5">
        <v>1</v>
      </c>
      <c r="Q22" s="5" t="s">
        <v>174</v>
      </c>
      <c r="R22" s="30">
        <v>28.64</v>
      </c>
      <c r="S22" s="30">
        <v>3780</v>
      </c>
      <c r="T22" s="5"/>
      <c r="U22" s="5"/>
      <c r="V22" s="5">
        <v>1</v>
      </c>
      <c r="W22" s="5" t="s">
        <v>176</v>
      </c>
      <c r="X22" s="30">
        <v>34.15</v>
      </c>
      <c r="Y22" s="30">
        <v>3526</v>
      </c>
      <c r="Z22" s="5"/>
      <c r="AA22" s="5"/>
      <c r="AB22" s="5">
        <v>1</v>
      </c>
      <c r="AC22" s="31" t="s">
        <v>173</v>
      </c>
      <c r="AD22" s="30">
        <v>14.09</v>
      </c>
      <c r="AE22" s="30">
        <v>4243</v>
      </c>
      <c r="AF22" s="5"/>
      <c r="AG22" s="5"/>
      <c r="AH22" s="5">
        <v>1</v>
      </c>
      <c r="AI22" s="5" t="s">
        <v>180</v>
      </c>
      <c r="AJ22" s="5" t="s">
        <v>180</v>
      </c>
      <c r="AK22" s="5" t="s">
        <v>180</v>
      </c>
      <c r="AO22" s="4" t="s">
        <v>2</v>
      </c>
      <c r="AP22" s="35">
        <v>11152.21154</v>
      </c>
      <c r="AQ22" s="35">
        <v>10337.19231</v>
      </c>
      <c r="AR22" s="35">
        <v>3702.9807692307695</v>
      </c>
      <c r="AS22" s="35">
        <v>3977.3269230000001</v>
      </c>
      <c r="AT22" s="35">
        <v>3902.1346149999999</v>
      </c>
      <c r="AU22" s="35">
        <v>3699.2307689999998</v>
      </c>
      <c r="AV22" s="35">
        <v>3814.3461539999998</v>
      </c>
      <c r="AW22" s="35">
        <v>4457.6730770000004</v>
      </c>
      <c r="AX22" s="35">
        <v>4524.87</v>
      </c>
      <c r="AY22" s="35" t="s">
        <v>180</v>
      </c>
      <c r="AZ22" s="35" t="s">
        <v>180</v>
      </c>
    </row>
    <row r="23" spans="1:52" x14ac:dyDescent="0.2">
      <c r="A23" s="34">
        <v>19</v>
      </c>
      <c r="B23" s="32" t="s">
        <v>23</v>
      </c>
      <c r="C23" s="5" t="s">
        <v>221</v>
      </c>
      <c r="D23" s="5">
        <v>1</v>
      </c>
      <c r="E23" s="5" t="s">
        <v>174</v>
      </c>
      <c r="F23" s="30">
        <v>49.63</v>
      </c>
      <c r="G23" s="30">
        <v>12131</v>
      </c>
      <c r="H23" s="30"/>
      <c r="I23" s="5"/>
      <c r="J23" s="5">
        <v>1</v>
      </c>
      <c r="K23" s="5" t="s">
        <v>174</v>
      </c>
      <c r="L23" s="30">
        <v>70.680000000000007</v>
      </c>
      <c r="M23" s="30">
        <v>10311</v>
      </c>
      <c r="N23" s="5"/>
      <c r="O23" s="5"/>
      <c r="P23" s="5">
        <v>1</v>
      </c>
      <c r="Q23" s="5" t="s">
        <v>174</v>
      </c>
      <c r="R23" s="30">
        <v>28.19</v>
      </c>
      <c r="S23" s="30">
        <v>3863</v>
      </c>
      <c r="T23" s="5"/>
      <c r="U23" s="5"/>
      <c r="V23" s="5">
        <v>1</v>
      </c>
      <c r="W23" s="5" t="s">
        <v>176</v>
      </c>
      <c r="X23" s="30">
        <v>34.89</v>
      </c>
      <c r="Y23" s="30">
        <v>3526</v>
      </c>
      <c r="Z23" s="5"/>
      <c r="AA23" s="5"/>
      <c r="AB23" s="5">
        <v>1</v>
      </c>
      <c r="AC23" s="31" t="s">
        <v>173</v>
      </c>
      <c r="AD23" s="30">
        <v>14.73</v>
      </c>
      <c r="AE23" s="30">
        <v>4281</v>
      </c>
      <c r="AF23" s="5"/>
      <c r="AG23" s="5"/>
      <c r="AH23" s="5">
        <v>1</v>
      </c>
      <c r="AI23" s="5" t="s">
        <v>180</v>
      </c>
      <c r="AJ23" s="5" t="s">
        <v>180</v>
      </c>
      <c r="AK23" s="5" t="s">
        <v>180</v>
      </c>
      <c r="AO23" s="4" t="s">
        <v>232</v>
      </c>
      <c r="AP23" s="35">
        <v>2677.5983606557379</v>
      </c>
      <c r="AQ23" s="35">
        <v>3365.7786885245905</v>
      </c>
      <c r="AR23" s="35">
        <v>1899.2295081967213</v>
      </c>
      <c r="AS23" s="35">
        <v>2055.2459016393441</v>
      </c>
      <c r="AT23" s="35">
        <v>2057.3360655737706</v>
      </c>
      <c r="AU23" s="35">
        <v>1865.967213114754</v>
      </c>
      <c r="AV23" s="35">
        <v>1900.2131147540981</v>
      </c>
      <c r="AW23" s="35">
        <v>2325.7704918032787</v>
      </c>
      <c r="AX23" s="35">
        <v>2645.2868852459014</v>
      </c>
      <c r="AY23" s="35" t="s">
        <v>180</v>
      </c>
      <c r="AZ23" s="35" t="s">
        <v>180</v>
      </c>
    </row>
    <row r="24" spans="1:52" x14ac:dyDescent="0.2">
      <c r="A24" s="34">
        <v>20</v>
      </c>
      <c r="B24" s="32" t="s">
        <v>26</v>
      </c>
      <c r="C24" s="5" t="s">
        <v>221</v>
      </c>
      <c r="D24" s="5">
        <v>1</v>
      </c>
      <c r="E24" s="5" t="s">
        <v>174</v>
      </c>
      <c r="F24" s="30">
        <v>49.41</v>
      </c>
      <c r="G24" s="30">
        <v>12106</v>
      </c>
      <c r="H24" s="30"/>
      <c r="I24" s="5"/>
      <c r="J24" s="5">
        <v>1</v>
      </c>
      <c r="K24" s="5" t="s">
        <v>174</v>
      </c>
      <c r="L24" s="30">
        <v>97.91</v>
      </c>
      <c r="M24" s="30">
        <v>12946</v>
      </c>
      <c r="N24" s="5"/>
      <c r="O24" s="5"/>
      <c r="P24" s="5">
        <v>1</v>
      </c>
      <c r="Q24" s="5" t="s">
        <v>174</v>
      </c>
      <c r="R24" s="30">
        <v>21.51</v>
      </c>
      <c r="S24" s="30">
        <v>3426</v>
      </c>
      <c r="T24" s="5"/>
      <c r="U24" s="5"/>
      <c r="V24" s="5">
        <v>1</v>
      </c>
      <c r="W24" s="5" t="s">
        <v>174</v>
      </c>
      <c r="X24" s="30">
        <v>25.67</v>
      </c>
      <c r="Y24" s="30">
        <v>3214</v>
      </c>
      <c r="Z24" s="5"/>
      <c r="AA24" s="5"/>
      <c r="AB24" s="5">
        <v>1</v>
      </c>
      <c r="AC24" s="31" t="s">
        <v>173</v>
      </c>
      <c r="AD24" s="30">
        <v>13.98</v>
      </c>
      <c r="AE24" s="30">
        <v>3913</v>
      </c>
      <c r="AF24" s="5"/>
      <c r="AG24" s="5"/>
      <c r="AH24" s="5">
        <v>1</v>
      </c>
      <c r="AI24" s="5" t="s">
        <v>180</v>
      </c>
      <c r="AJ24" s="5" t="s">
        <v>180</v>
      </c>
      <c r="AK24" s="5" t="s">
        <v>180</v>
      </c>
      <c r="AO24" s="4" t="s">
        <v>3</v>
      </c>
      <c r="AP24" s="35">
        <v>2813.5</v>
      </c>
      <c r="AQ24" s="35">
        <v>6181.5</v>
      </c>
      <c r="AR24" s="35">
        <v>1007.4285714285714</v>
      </c>
      <c r="AS24" s="35">
        <v>1387</v>
      </c>
      <c r="AT24" s="35">
        <v>2351.311475409836</v>
      </c>
      <c r="AU24" s="35">
        <v>1182</v>
      </c>
      <c r="AV24" s="35">
        <v>1186</v>
      </c>
      <c r="AW24" s="35">
        <v>1482</v>
      </c>
      <c r="AX24" s="35">
        <v>1567</v>
      </c>
      <c r="AY24" s="35" t="s">
        <v>180</v>
      </c>
      <c r="AZ24" s="35" t="s">
        <v>180</v>
      </c>
    </row>
    <row r="25" spans="1:52" x14ac:dyDescent="0.2">
      <c r="A25" s="34">
        <v>21</v>
      </c>
      <c r="B25" s="32" t="s">
        <v>27</v>
      </c>
      <c r="C25" s="5" t="s">
        <v>221</v>
      </c>
      <c r="D25" s="5">
        <v>1</v>
      </c>
      <c r="E25" s="5" t="s">
        <v>174</v>
      </c>
      <c r="F25" s="30">
        <v>58.73</v>
      </c>
      <c r="G25" s="30">
        <v>12903</v>
      </c>
      <c r="H25" s="30"/>
      <c r="I25" s="5"/>
      <c r="J25" s="5">
        <v>1</v>
      </c>
      <c r="K25" s="5" t="s">
        <v>174</v>
      </c>
      <c r="L25" s="30">
        <v>109.76</v>
      </c>
      <c r="M25" s="30">
        <v>14136</v>
      </c>
      <c r="N25" s="5"/>
      <c r="O25" s="5"/>
      <c r="P25" s="5">
        <v>1</v>
      </c>
      <c r="Q25" s="5" t="s">
        <v>176</v>
      </c>
      <c r="R25" s="30">
        <v>25.76</v>
      </c>
      <c r="S25" s="30">
        <v>3654</v>
      </c>
      <c r="T25" s="5"/>
      <c r="U25" s="5"/>
      <c r="V25" s="5">
        <v>1</v>
      </c>
      <c r="W25" s="5" t="s">
        <v>176</v>
      </c>
      <c r="X25" s="30">
        <v>32.83</v>
      </c>
      <c r="Y25" s="30">
        <v>3205</v>
      </c>
      <c r="Z25" s="5"/>
      <c r="AA25" s="5"/>
      <c r="AB25" s="5">
        <v>1</v>
      </c>
      <c r="AC25" s="31" t="s">
        <v>173</v>
      </c>
      <c r="AD25" s="30">
        <v>22.84</v>
      </c>
      <c r="AE25" s="30">
        <v>4521</v>
      </c>
      <c r="AF25" s="5"/>
      <c r="AG25" s="5"/>
      <c r="AH25" s="5">
        <v>1</v>
      </c>
      <c r="AI25" s="5" t="s">
        <v>180</v>
      </c>
      <c r="AJ25" s="5" t="s">
        <v>180</v>
      </c>
      <c r="AK25" s="5" t="s">
        <v>180</v>
      </c>
      <c r="AO25" s="4" t="s">
        <v>246</v>
      </c>
      <c r="AP25" s="35">
        <v>3048.64</v>
      </c>
      <c r="AQ25" s="35">
        <v>4044.8466669999998</v>
      </c>
      <c r="AR25" s="35">
        <v>1906.58</v>
      </c>
      <c r="AS25" s="35">
        <v>1532.38</v>
      </c>
      <c r="AT25" s="35">
        <v>1582.555556</v>
      </c>
      <c r="AU25" s="35">
        <v>1463.6</v>
      </c>
      <c r="AV25" s="35">
        <v>1528.346667</v>
      </c>
      <c r="AW25" s="35">
        <v>1730.82</v>
      </c>
      <c r="AX25" s="35">
        <v>1798.28</v>
      </c>
      <c r="AY25" s="35" t="s">
        <v>180</v>
      </c>
      <c r="AZ25" s="35" t="s">
        <v>180</v>
      </c>
    </row>
    <row r="26" spans="1:52" x14ac:dyDescent="0.2">
      <c r="A26" s="34">
        <v>22</v>
      </c>
      <c r="B26" s="32" t="s">
        <v>28</v>
      </c>
      <c r="C26" s="5" t="s">
        <v>221</v>
      </c>
      <c r="D26" s="5">
        <v>1</v>
      </c>
      <c r="E26" s="5" t="s">
        <v>174</v>
      </c>
      <c r="F26" s="30">
        <v>63.87</v>
      </c>
      <c r="G26" s="30">
        <v>14328</v>
      </c>
      <c r="H26" s="30"/>
      <c r="I26" s="5"/>
      <c r="J26" s="5">
        <v>1</v>
      </c>
      <c r="K26" s="5" t="s">
        <v>174</v>
      </c>
      <c r="L26" s="30">
        <v>113.06</v>
      </c>
      <c r="M26" s="30">
        <v>14475</v>
      </c>
      <c r="N26" s="5"/>
      <c r="O26" s="5"/>
      <c r="P26" s="5">
        <v>1</v>
      </c>
      <c r="Q26" s="5" t="s">
        <v>176</v>
      </c>
      <c r="R26" s="30">
        <v>30.97</v>
      </c>
      <c r="S26" s="30">
        <v>3759</v>
      </c>
      <c r="T26" s="5"/>
      <c r="U26" s="5"/>
      <c r="V26" s="5">
        <v>1</v>
      </c>
      <c r="W26" s="5" t="s">
        <v>176</v>
      </c>
      <c r="X26" s="30">
        <v>22.09</v>
      </c>
      <c r="Y26" s="30">
        <v>3267</v>
      </c>
      <c r="Z26" s="5"/>
      <c r="AA26" s="5"/>
      <c r="AB26" s="5">
        <v>1</v>
      </c>
      <c r="AC26" s="31" t="s">
        <v>175</v>
      </c>
      <c r="AD26" s="30">
        <v>20.350000000000001</v>
      </c>
      <c r="AE26" s="30">
        <v>4360</v>
      </c>
      <c r="AF26" s="5"/>
      <c r="AG26" s="5"/>
      <c r="AH26" s="5">
        <v>1</v>
      </c>
      <c r="AI26" s="5" t="s">
        <v>180</v>
      </c>
      <c r="AJ26" s="5" t="s">
        <v>180</v>
      </c>
      <c r="AK26" s="5" t="s">
        <v>180</v>
      </c>
      <c r="AO26" s="4" t="s">
        <v>249</v>
      </c>
      <c r="AP26" s="35">
        <v>3044.1875</v>
      </c>
      <c r="AQ26" s="35">
        <v>3241.40625</v>
      </c>
      <c r="AR26" s="35">
        <v>2064.4333333333334</v>
      </c>
      <c r="AS26" s="35">
        <v>2019.78125</v>
      </c>
      <c r="AT26" s="35">
        <v>2014.3125</v>
      </c>
      <c r="AU26" s="35">
        <v>1808.1875</v>
      </c>
      <c r="AV26" s="35">
        <v>1869.25</v>
      </c>
      <c r="AW26" s="35">
        <v>2245.09375</v>
      </c>
      <c r="AX26" s="35">
        <v>2588.625</v>
      </c>
      <c r="AY26" s="35" t="s">
        <v>180</v>
      </c>
      <c r="AZ26" s="35" t="s">
        <v>180</v>
      </c>
    </row>
    <row r="27" spans="1:52" x14ac:dyDescent="0.2">
      <c r="A27" s="34">
        <v>23</v>
      </c>
      <c r="B27" s="32" t="s">
        <v>29</v>
      </c>
      <c r="C27" s="5" t="s">
        <v>221</v>
      </c>
      <c r="D27" s="5">
        <v>1</v>
      </c>
      <c r="E27" s="5" t="s">
        <v>174</v>
      </c>
      <c r="F27" s="30">
        <v>51.62</v>
      </c>
      <c r="G27" s="30">
        <v>12638</v>
      </c>
      <c r="H27" s="30"/>
      <c r="I27" s="5"/>
      <c r="J27" s="5">
        <v>1</v>
      </c>
      <c r="K27" s="5" t="s">
        <v>174</v>
      </c>
      <c r="L27" s="30">
        <v>71.89</v>
      </c>
      <c r="M27" s="30">
        <v>11026</v>
      </c>
      <c r="N27" s="5"/>
      <c r="O27" s="5"/>
      <c r="P27" s="5">
        <v>1</v>
      </c>
      <c r="Q27" s="5" t="s">
        <v>174</v>
      </c>
      <c r="R27" s="30">
        <v>33.85</v>
      </c>
      <c r="S27" s="30">
        <v>4493</v>
      </c>
      <c r="T27" s="5"/>
      <c r="U27" s="5"/>
      <c r="V27" s="5">
        <v>1</v>
      </c>
      <c r="W27" s="5" t="s">
        <v>174</v>
      </c>
      <c r="X27" s="30">
        <v>45.68</v>
      </c>
      <c r="Y27" s="30">
        <v>4205</v>
      </c>
      <c r="Z27" s="5"/>
      <c r="AA27" s="5"/>
      <c r="AB27" s="5">
        <v>1</v>
      </c>
      <c r="AC27" s="31" t="s">
        <v>173</v>
      </c>
      <c r="AD27" s="30">
        <v>14.19</v>
      </c>
      <c r="AE27" s="30">
        <v>4980</v>
      </c>
      <c r="AF27" s="5"/>
      <c r="AG27" s="5"/>
      <c r="AH27" s="5">
        <v>1</v>
      </c>
      <c r="AI27" s="5" t="s">
        <v>180</v>
      </c>
      <c r="AJ27" s="5" t="s">
        <v>180</v>
      </c>
      <c r="AK27" s="5" t="s">
        <v>180</v>
      </c>
      <c r="AO27" s="4" t="s">
        <v>255</v>
      </c>
      <c r="AP27" s="35">
        <f>SUM(AP22:AP26)</f>
        <v>22736.137400655738</v>
      </c>
      <c r="AQ27" s="35">
        <f>SUM(AQ22:AQ26)</f>
        <v>27170.723915524592</v>
      </c>
      <c r="AR27" s="35">
        <f>SUM(AR22:AR26)</f>
        <v>10580.652182189395</v>
      </c>
      <c r="AS27" s="35">
        <f>SUM(AS22:AS26)</f>
        <v>10971.734074639346</v>
      </c>
      <c r="AT27" s="35">
        <f>SUM(AT22:AT26)</f>
        <v>11907.650211983606</v>
      </c>
      <c r="AU27" s="35">
        <f t="shared" ref="AU27:AX27" si="0">SUM(AU22:AU26)</f>
        <v>10018.985482114755</v>
      </c>
      <c r="AV27" s="35">
        <f t="shared" si="0"/>
        <v>10298.155935754097</v>
      </c>
      <c r="AW27" s="35">
        <f t="shared" si="0"/>
        <v>12241.357318803279</v>
      </c>
      <c r="AX27" s="35">
        <f t="shared" si="0"/>
        <v>13124.061885245903</v>
      </c>
    </row>
    <row r="28" spans="1:52" x14ac:dyDescent="0.2">
      <c r="A28" s="34">
        <v>24</v>
      </c>
      <c r="B28" s="32" t="s">
        <v>30</v>
      </c>
      <c r="C28" s="5" t="s">
        <v>221</v>
      </c>
      <c r="D28" s="5">
        <v>1</v>
      </c>
      <c r="E28" s="5" t="s">
        <v>174</v>
      </c>
      <c r="F28" s="30">
        <v>45.83</v>
      </c>
      <c r="G28" s="30">
        <v>11543</v>
      </c>
      <c r="H28" s="30"/>
      <c r="I28" s="5"/>
      <c r="J28" s="5">
        <v>1</v>
      </c>
      <c r="K28" s="5" t="s">
        <v>174</v>
      </c>
      <c r="L28" s="30">
        <v>64.260000000000005</v>
      </c>
      <c r="M28" s="30">
        <v>10321</v>
      </c>
      <c r="N28" s="5"/>
      <c r="O28" s="5"/>
      <c r="P28" s="5">
        <v>1</v>
      </c>
      <c r="Q28" s="5" t="s">
        <v>174</v>
      </c>
      <c r="R28" s="30">
        <v>37.229999999999997</v>
      </c>
      <c r="S28" s="30">
        <v>4611</v>
      </c>
      <c r="T28" s="5"/>
      <c r="U28" s="5"/>
      <c r="V28" s="5">
        <v>1</v>
      </c>
      <c r="W28" s="5" t="s">
        <v>176</v>
      </c>
      <c r="X28" s="30">
        <v>50.23</v>
      </c>
      <c r="Y28" s="30">
        <v>4326</v>
      </c>
      <c r="Z28" s="5"/>
      <c r="AA28" s="5"/>
      <c r="AB28" s="5">
        <v>1</v>
      </c>
      <c r="AC28" s="31" t="s">
        <v>173</v>
      </c>
      <c r="AD28" s="30">
        <v>14.61</v>
      </c>
      <c r="AE28" s="30">
        <v>5083</v>
      </c>
      <c r="AF28" s="5"/>
      <c r="AG28" s="5"/>
      <c r="AH28" s="5">
        <v>1</v>
      </c>
      <c r="AI28" s="5" t="s">
        <v>180</v>
      </c>
      <c r="AJ28" s="5" t="s">
        <v>180</v>
      </c>
      <c r="AK28" s="5" t="s">
        <v>180</v>
      </c>
    </row>
    <row r="29" spans="1:52" x14ac:dyDescent="0.2">
      <c r="A29" s="34">
        <v>25</v>
      </c>
      <c r="B29" s="32" t="s">
        <v>31</v>
      </c>
      <c r="C29" s="5" t="s">
        <v>221</v>
      </c>
      <c r="D29" s="5">
        <v>1</v>
      </c>
      <c r="E29" s="5" t="s">
        <v>174</v>
      </c>
      <c r="F29" s="30">
        <v>34.549999999999997</v>
      </c>
      <c r="G29" s="30">
        <v>9663</v>
      </c>
      <c r="H29" s="30"/>
      <c r="I29" s="5"/>
      <c r="J29" s="5">
        <v>1</v>
      </c>
      <c r="K29" s="5" t="s">
        <v>174</v>
      </c>
      <c r="L29" s="30">
        <v>77.099999999999994</v>
      </c>
      <c r="M29" s="30">
        <v>11659</v>
      </c>
      <c r="N29" s="5"/>
      <c r="O29" s="5"/>
      <c r="P29" s="5">
        <v>1</v>
      </c>
      <c r="Q29" s="5" t="s">
        <v>176</v>
      </c>
      <c r="R29" s="30">
        <v>43.07</v>
      </c>
      <c r="S29" s="30">
        <v>5001</v>
      </c>
      <c r="T29" s="5"/>
      <c r="U29" s="5"/>
      <c r="V29" s="5">
        <v>1</v>
      </c>
      <c r="W29" s="5" t="s">
        <v>176</v>
      </c>
      <c r="X29" s="30">
        <v>66.81</v>
      </c>
      <c r="Y29" s="30">
        <v>4760</v>
      </c>
      <c r="Z29" s="5"/>
      <c r="AA29" s="5"/>
      <c r="AB29" s="5">
        <v>1</v>
      </c>
      <c r="AC29" s="31" t="s">
        <v>175</v>
      </c>
      <c r="AD29" s="30">
        <v>18.02</v>
      </c>
      <c r="AE29" s="30">
        <v>5447</v>
      </c>
      <c r="AF29" s="5"/>
      <c r="AG29" s="5"/>
      <c r="AH29" s="5">
        <v>1</v>
      </c>
      <c r="AI29" s="5" t="s">
        <v>180</v>
      </c>
      <c r="AJ29" s="5" t="s">
        <v>180</v>
      </c>
      <c r="AK29" s="5" t="s">
        <v>180</v>
      </c>
    </row>
    <row r="30" spans="1:52" x14ac:dyDescent="0.2">
      <c r="A30" s="34">
        <v>26</v>
      </c>
      <c r="B30" s="32" t="s">
        <v>32</v>
      </c>
      <c r="C30" s="5" t="s">
        <v>221</v>
      </c>
      <c r="D30" s="5">
        <v>1</v>
      </c>
      <c r="E30" s="5" t="s">
        <v>174</v>
      </c>
      <c r="F30" s="30">
        <v>52.09</v>
      </c>
      <c r="G30" s="30">
        <v>13121</v>
      </c>
      <c r="H30" s="30"/>
      <c r="I30" s="5"/>
      <c r="J30" s="5">
        <v>1</v>
      </c>
      <c r="K30" s="5" t="s">
        <v>176</v>
      </c>
      <c r="L30" s="30">
        <v>89.42</v>
      </c>
      <c r="M30" s="30">
        <v>12727</v>
      </c>
      <c r="N30" s="5"/>
      <c r="O30" s="5"/>
      <c r="P30" s="5">
        <v>1</v>
      </c>
      <c r="Q30" s="5" t="s">
        <v>176</v>
      </c>
      <c r="R30" s="30">
        <v>38.67</v>
      </c>
      <c r="S30" s="30">
        <v>4753</v>
      </c>
      <c r="T30" s="5"/>
      <c r="U30" s="5"/>
      <c r="V30" s="5">
        <v>1</v>
      </c>
      <c r="W30" s="5" t="s">
        <v>176</v>
      </c>
      <c r="X30" s="30">
        <v>86.07</v>
      </c>
      <c r="Y30" s="30">
        <v>4705</v>
      </c>
      <c r="Z30" s="5"/>
      <c r="AA30" s="5"/>
      <c r="AB30" s="5">
        <v>1</v>
      </c>
      <c r="AC30" s="31" t="s">
        <v>173</v>
      </c>
      <c r="AD30" s="30">
        <v>19.07</v>
      </c>
      <c r="AE30" s="30">
        <v>5382</v>
      </c>
      <c r="AF30" s="5"/>
      <c r="AG30" s="5"/>
      <c r="AH30" s="5">
        <v>1</v>
      </c>
      <c r="AI30" s="5" t="s">
        <v>180</v>
      </c>
      <c r="AJ30" s="5" t="s">
        <v>180</v>
      </c>
      <c r="AK30" s="5" t="s">
        <v>180</v>
      </c>
    </row>
    <row r="31" spans="1:52" x14ac:dyDescent="0.2">
      <c r="A31" s="34">
        <v>1</v>
      </c>
      <c r="B31" s="32" t="s">
        <v>0</v>
      </c>
      <c r="C31" s="5" t="s">
        <v>220</v>
      </c>
      <c r="D31" s="5">
        <v>2</v>
      </c>
      <c r="E31" s="5" t="s">
        <v>174</v>
      </c>
      <c r="F31" s="30">
        <v>45.74</v>
      </c>
      <c r="G31" s="30">
        <v>10895</v>
      </c>
      <c r="H31" s="30"/>
      <c r="I31" s="5"/>
      <c r="J31" s="5">
        <v>2</v>
      </c>
      <c r="K31" s="5" t="s">
        <v>174</v>
      </c>
      <c r="L31" s="30">
        <v>28.97</v>
      </c>
      <c r="M31" s="30">
        <v>5711</v>
      </c>
      <c r="N31" s="5"/>
      <c r="O31" s="5"/>
      <c r="P31" s="5">
        <v>2</v>
      </c>
      <c r="Q31" s="5" t="s">
        <v>174</v>
      </c>
      <c r="R31" s="30">
        <v>21.16</v>
      </c>
      <c r="S31" s="30">
        <v>3308</v>
      </c>
      <c r="T31" s="5"/>
      <c r="U31" s="5"/>
      <c r="V31" s="5">
        <v>2</v>
      </c>
      <c r="W31" s="5" t="s">
        <v>176</v>
      </c>
      <c r="X31" s="30">
        <v>37.35</v>
      </c>
      <c r="Y31" s="30">
        <v>3127</v>
      </c>
      <c r="Z31" s="5"/>
      <c r="AA31" s="5"/>
      <c r="AB31" s="5">
        <v>2</v>
      </c>
      <c r="AC31" s="31" t="s">
        <v>173</v>
      </c>
      <c r="AD31" s="30">
        <v>10.67</v>
      </c>
      <c r="AE31" s="30">
        <v>3713</v>
      </c>
      <c r="AF31" s="5"/>
      <c r="AG31" s="5"/>
      <c r="AH31" s="5">
        <v>2</v>
      </c>
      <c r="AI31" s="5" t="s">
        <v>180</v>
      </c>
      <c r="AJ31" s="5" t="s">
        <v>180</v>
      </c>
      <c r="AK31" s="5" t="s">
        <v>180</v>
      </c>
    </row>
    <row r="32" spans="1:52" x14ac:dyDescent="0.2">
      <c r="A32" s="34">
        <v>2</v>
      </c>
      <c r="B32" s="32" t="s">
        <v>4</v>
      </c>
      <c r="C32" s="5" t="s">
        <v>220</v>
      </c>
      <c r="D32" s="5">
        <v>2</v>
      </c>
      <c r="E32" s="5" t="s">
        <v>174</v>
      </c>
      <c r="F32" s="30">
        <v>36.06</v>
      </c>
      <c r="G32" s="30">
        <v>9019</v>
      </c>
      <c r="H32" s="30"/>
      <c r="I32" s="5"/>
      <c r="J32" s="5">
        <v>2</v>
      </c>
      <c r="K32" s="5" t="s">
        <v>174</v>
      </c>
      <c r="L32" s="30">
        <v>62.66</v>
      </c>
      <c r="M32" s="30">
        <v>9014</v>
      </c>
      <c r="N32" s="5"/>
      <c r="O32" s="5"/>
      <c r="P32" s="5">
        <v>2</v>
      </c>
      <c r="Q32" s="5" t="s">
        <v>174</v>
      </c>
      <c r="R32" s="30">
        <v>26.28</v>
      </c>
      <c r="S32" s="30">
        <v>3424</v>
      </c>
      <c r="T32" s="5"/>
      <c r="U32" s="5"/>
      <c r="V32" s="5">
        <v>2</v>
      </c>
      <c r="W32" s="5" t="s">
        <v>176</v>
      </c>
      <c r="X32" s="30">
        <v>46.26</v>
      </c>
      <c r="Y32" s="30">
        <v>3234</v>
      </c>
      <c r="Z32" s="5"/>
      <c r="AA32" s="5"/>
      <c r="AB32" s="5">
        <v>2</v>
      </c>
      <c r="AC32" s="31" t="s">
        <v>173</v>
      </c>
      <c r="AD32" s="30">
        <v>11.42</v>
      </c>
      <c r="AE32" s="30">
        <v>3817</v>
      </c>
      <c r="AF32" s="5"/>
      <c r="AG32" s="5"/>
      <c r="AH32" s="5">
        <v>2</v>
      </c>
      <c r="AI32" s="5" t="s">
        <v>180</v>
      </c>
      <c r="AJ32" s="5" t="s">
        <v>180</v>
      </c>
      <c r="AK32" s="5" t="s">
        <v>180</v>
      </c>
    </row>
    <row r="33" spans="1:37" x14ac:dyDescent="0.2">
      <c r="A33" s="34">
        <v>3</v>
      </c>
      <c r="B33" s="32" t="s">
        <v>8</v>
      </c>
      <c r="C33" s="5" t="s">
        <v>220</v>
      </c>
      <c r="D33" s="5">
        <v>2</v>
      </c>
      <c r="E33" s="5" t="s">
        <v>174</v>
      </c>
      <c r="F33" s="30">
        <v>29.79</v>
      </c>
      <c r="G33" s="30">
        <v>8129</v>
      </c>
      <c r="H33" s="30"/>
      <c r="I33" s="5"/>
      <c r="J33" s="5">
        <v>2</v>
      </c>
      <c r="K33" s="5" t="s">
        <v>174</v>
      </c>
      <c r="L33" s="30">
        <v>67.39</v>
      </c>
      <c r="M33" s="30">
        <v>9669</v>
      </c>
      <c r="N33" s="5"/>
      <c r="O33" s="5"/>
      <c r="P33" s="5">
        <v>2</v>
      </c>
      <c r="Q33" s="5" t="s">
        <v>176</v>
      </c>
      <c r="R33" s="30">
        <v>20.28</v>
      </c>
      <c r="S33" s="30">
        <v>3304</v>
      </c>
      <c r="T33" s="5"/>
      <c r="U33" s="5"/>
      <c r="V33" s="5">
        <v>2</v>
      </c>
      <c r="W33" s="5" t="s">
        <v>176</v>
      </c>
      <c r="X33" s="30">
        <v>32.93</v>
      </c>
      <c r="Y33" s="30">
        <v>3331</v>
      </c>
      <c r="Z33" s="5"/>
      <c r="AA33" s="5"/>
      <c r="AB33" s="5">
        <v>2</v>
      </c>
      <c r="AC33" s="31" t="s">
        <v>173</v>
      </c>
      <c r="AD33" s="30">
        <v>12.85</v>
      </c>
      <c r="AE33" s="30">
        <v>3977</v>
      </c>
      <c r="AF33" s="5"/>
      <c r="AG33" s="5"/>
      <c r="AH33" s="5">
        <v>2</v>
      </c>
      <c r="AI33" s="5" t="s">
        <v>180</v>
      </c>
      <c r="AJ33" s="5" t="s">
        <v>180</v>
      </c>
      <c r="AK33" s="5" t="s">
        <v>180</v>
      </c>
    </row>
    <row r="34" spans="1:37" x14ac:dyDescent="0.2">
      <c r="A34" s="34">
        <v>4</v>
      </c>
      <c r="B34" s="32" t="s">
        <v>12</v>
      </c>
      <c r="C34" s="5" t="s">
        <v>220</v>
      </c>
      <c r="D34" s="5">
        <v>2</v>
      </c>
      <c r="E34" s="5" t="s">
        <v>174</v>
      </c>
      <c r="F34" s="30">
        <v>57.72</v>
      </c>
      <c r="G34" s="30">
        <v>13384</v>
      </c>
      <c r="H34" s="30"/>
      <c r="I34" s="5"/>
      <c r="J34" s="5">
        <v>2</v>
      </c>
      <c r="K34" s="5" t="s">
        <v>174</v>
      </c>
      <c r="L34" s="30">
        <v>57.24</v>
      </c>
      <c r="M34" s="30">
        <v>8886</v>
      </c>
      <c r="N34" s="5"/>
      <c r="O34" s="5"/>
      <c r="P34" s="5">
        <v>2</v>
      </c>
      <c r="Q34" s="5" t="s">
        <v>176</v>
      </c>
      <c r="R34" s="30">
        <v>27.11</v>
      </c>
      <c r="S34" s="30">
        <v>3806</v>
      </c>
      <c r="T34" s="5"/>
      <c r="U34" s="5"/>
      <c r="V34" s="5">
        <v>2</v>
      </c>
      <c r="W34" s="5" t="s">
        <v>174</v>
      </c>
      <c r="X34" s="30">
        <v>30.99</v>
      </c>
      <c r="Y34" s="30">
        <v>3508</v>
      </c>
      <c r="Z34" s="5"/>
      <c r="AA34" s="5"/>
      <c r="AB34" s="5">
        <v>2</v>
      </c>
      <c r="AC34" s="31" t="s">
        <v>173</v>
      </c>
      <c r="AD34" s="30">
        <v>12.56</v>
      </c>
      <c r="AE34" s="30">
        <v>4141</v>
      </c>
      <c r="AF34" s="5"/>
      <c r="AG34" s="5"/>
      <c r="AH34" s="5">
        <v>2</v>
      </c>
      <c r="AI34" s="5" t="s">
        <v>180</v>
      </c>
      <c r="AJ34" s="5" t="s">
        <v>180</v>
      </c>
      <c r="AK34" s="5" t="s">
        <v>180</v>
      </c>
    </row>
    <row r="35" spans="1:37" x14ac:dyDescent="0.2">
      <c r="A35" s="34">
        <v>5</v>
      </c>
      <c r="B35" s="32" t="s">
        <v>20</v>
      </c>
      <c r="C35" s="5" t="s">
        <v>220</v>
      </c>
      <c r="D35" s="5">
        <v>2</v>
      </c>
      <c r="E35" s="5" t="s">
        <v>174</v>
      </c>
      <c r="F35" s="30">
        <v>36.67</v>
      </c>
      <c r="G35" s="30">
        <v>9678</v>
      </c>
      <c r="H35" s="30"/>
      <c r="I35" s="5"/>
      <c r="J35" s="5">
        <v>2</v>
      </c>
      <c r="K35" s="5" t="s">
        <v>174</v>
      </c>
      <c r="L35" s="30">
        <v>71.7</v>
      </c>
      <c r="M35" s="30">
        <v>10382</v>
      </c>
      <c r="N35" s="5"/>
      <c r="O35" s="5"/>
      <c r="P35" s="5">
        <v>2</v>
      </c>
      <c r="Q35" s="5" t="s">
        <v>176</v>
      </c>
      <c r="R35" s="30">
        <v>26.79</v>
      </c>
      <c r="S35" s="30">
        <v>3706</v>
      </c>
      <c r="T35" s="5"/>
      <c r="U35" s="5"/>
      <c r="V35" s="5">
        <v>2</v>
      </c>
      <c r="W35" s="5" t="s">
        <v>176</v>
      </c>
      <c r="X35" s="30">
        <v>30.56</v>
      </c>
      <c r="Y35" s="30">
        <v>3523</v>
      </c>
      <c r="Z35" s="5"/>
      <c r="AA35" s="5"/>
      <c r="AB35" s="5">
        <v>2</v>
      </c>
      <c r="AC35" s="31" t="s">
        <v>173</v>
      </c>
      <c r="AD35" s="30">
        <v>13.98</v>
      </c>
      <c r="AE35" s="30">
        <v>4258</v>
      </c>
      <c r="AF35" s="5"/>
      <c r="AG35" s="5"/>
      <c r="AH35" s="5">
        <v>2</v>
      </c>
      <c r="AI35" s="5" t="s">
        <v>180</v>
      </c>
      <c r="AJ35" s="5" t="s">
        <v>180</v>
      </c>
      <c r="AK35" s="5" t="s">
        <v>180</v>
      </c>
    </row>
    <row r="36" spans="1:37" x14ac:dyDescent="0.2">
      <c r="A36" s="34">
        <v>6</v>
      </c>
      <c r="B36" s="32" t="s">
        <v>23</v>
      </c>
      <c r="C36" s="5" t="s">
        <v>220</v>
      </c>
      <c r="D36" s="5">
        <v>2</v>
      </c>
      <c r="E36" s="5" t="s">
        <v>174</v>
      </c>
      <c r="F36" s="30">
        <v>46.58</v>
      </c>
      <c r="G36" s="30">
        <v>11645</v>
      </c>
      <c r="H36" s="30"/>
      <c r="I36" s="5"/>
      <c r="J36" s="5">
        <v>2</v>
      </c>
      <c r="K36" s="5" t="s">
        <v>174</v>
      </c>
      <c r="L36" s="30">
        <v>62.43</v>
      </c>
      <c r="M36" s="30">
        <v>9447</v>
      </c>
      <c r="N36" s="5"/>
      <c r="O36" s="5"/>
      <c r="P36" s="5">
        <v>2</v>
      </c>
      <c r="Q36" s="5" t="s">
        <v>176</v>
      </c>
      <c r="R36" s="30">
        <v>25.45</v>
      </c>
      <c r="S36" s="30">
        <v>3699</v>
      </c>
      <c r="T36" s="5"/>
      <c r="U36" s="5"/>
      <c r="V36" s="5">
        <v>2</v>
      </c>
      <c r="W36" s="5" t="s">
        <v>176</v>
      </c>
      <c r="X36" s="30">
        <v>31.38</v>
      </c>
      <c r="Y36" s="30">
        <v>3489</v>
      </c>
      <c r="Z36" s="5"/>
      <c r="AA36" s="5"/>
      <c r="AB36" s="5">
        <v>2</v>
      </c>
      <c r="AC36" s="31" t="s">
        <v>173</v>
      </c>
      <c r="AD36" s="30">
        <v>13.89</v>
      </c>
      <c r="AE36" s="30">
        <v>4260</v>
      </c>
      <c r="AF36" s="5"/>
      <c r="AG36" s="5"/>
      <c r="AH36" s="5">
        <v>2</v>
      </c>
      <c r="AI36" s="5" t="s">
        <v>180</v>
      </c>
      <c r="AJ36" s="5" t="s">
        <v>180</v>
      </c>
      <c r="AK36" s="5" t="s">
        <v>180</v>
      </c>
    </row>
    <row r="37" spans="1:37" x14ac:dyDescent="0.2">
      <c r="A37" s="34">
        <v>7</v>
      </c>
      <c r="B37" s="32" t="s">
        <v>26</v>
      </c>
      <c r="C37" s="5" t="s">
        <v>220</v>
      </c>
      <c r="D37" s="5">
        <v>2</v>
      </c>
      <c r="E37" s="5" t="s">
        <v>174</v>
      </c>
      <c r="F37" s="30">
        <v>62.33</v>
      </c>
      <c r="G37" s="30">
        <v>13894</v>
      </c>
      <c r="H37" s="30"/>
      <c r="I37" s="5"/>
      <c r="J37" s="5">
        <v>2</v>
      </c>
      <c r="K37" s="5" t="s">
        <v>174</v>
      </c>
      <c r="L37" s="30">
        <v>87.34</v>
      </c>
      <c r="M37" s="30">
        <v>11672</v>
      </c>
      <c r="N37" s="5"/>
      <c r="O37" s="5"/>
      <c r="P37" s="5">
        <v>2</v>
      </c>
      <c r="Q37" s="5" t="s">
        <v>176</v>
      </c>
      <c r="R37" s="30">
        <v>22.49</v>
      </c>
      <c r="S37" s="30">
        <v>3510</v>
      </c>
      <c r="T37" s="5"/>
      <c r="U37" s="5"/>
      <c r="V37" s="5">
        <v>2</v>
      </c>
      <c r="W37" s="5" t="s">
        <v>174</v>
      </c>
      <c r="X37" s="30">
        <v>25.46</v>
      </c>
      <c r="Y37" s="30">
        <v>3190</v>
      </c>
      <c r="Z37" s="5"/>
      <c r="AA37" s="5"/>
      <c r="AB37" s="5">
        <v>2</v>
      </c>
      <c r="AC37" s="31" t="s">
        <v>173</v>
      </c>
      <c r="AD37" s="30">
        <v>12.24</v>
      </c>
      <c r="AE37" s="30">
        <v>3947</v>
      </c>
      <c r="AF37" s="5"/>
      <c r="AG37" s="5"/>
      <c r="AH37" s="5">
        <v>2</v>
      </c>
      <c r="AI37" s="5" t="s">
        <v>180</v>
      </c>
      <c r="AJ37" s="5" t="s">
        <v>180</v>
      </c>
      <c r="AK37" s="5" t="s">
        <v>180</v>
      </c>
    </row>
    <row r="38" spans="1:37" x14ac:dyDescent="0.2">
      <c r="A38" s="34">
        <v>8</v>
      </c>
      <c r="B38" s="32" t="s">
        <v>27</v>
      </c>
      <c r="C38" s="5" t="s">
        <v>220</v>
      </c>
      <c r="D38" s="5">
        <v>2</v>
      </c>
      <c r="E38" s="5" t="s">
        <v>174</v>
      </c>
      <c r="F38" s="30">
        <v>62.77</v>
      </c>
      <c r="G38" s="30">
        <v>13778</v>
      </c>
      <c r="H38" s="30"/>
      <c r="I38" s="5"/>
      <c r="J38" s="5">
        <v>2</v>
      </c>
      <c r="K38" s="5" t="s">
        <v>174</v>
      </c>
      <c r="L38" s="30">
        <v>74.95</v>
      </c>
      <c r="M38" s="30">
        <v>10366</v>
      </c>
      <c r="N38" s="5"/>
      <c r="O38" s="5"/>
      <c r="P38" s="5">
        <v>2</v>
      </c>
      <c r="Q38" s="5" t="s">
        <v>176</v>
      </c>
      <c r="R38" s="30">
        <v>65.25</v>
      </c>
      <c r="S38" s="30">
        <v>4236</v>
      </c>
      <c r="T38" s="5"/>
      <c r="U38" s="5"/>
      <c r="V38" s="5">
        <v>2</v>
      </c>
      <c r="W38" s="5" t="s">
        <v>176</v>
      </c>
      <c r="X38" s="30">
        <v>54.71</v>
      </c>
      <c r="Y38" s="30">
        <v>3223</v>
      </c>
      <c r="Z38" s="5"/>
      <c r="AA38" s="5"/>
      <c r="AB38" s="5">
        <v>2</v>
      </c>
      <c r="AC38" s="31" t="s">
        <v>173</v>
      </c>
      <c r="AD38" s="30">
        <v>19.93</v>
      </c>
      <c r="AE38" s="30">
        <v>4393</v>
      </c>
      <c r="AF38" s="5"/>
      <c r="AG38" s="5"/>
      <c r="AH38" s="5">
        <v>2</v>
      </c>
      <c r="AI38" s="5" t="s">
        <v>180</v>
      </c>
      <c r="AJ38" s="5" t="s">
        <v>180</v>
      </c>
      <c r="AK38" s="5" t="s">
        <v>180</v>
      </c>
    </row>
    <row r="39" spans="1:37" x14ac:dyDescent="0.2">
      <c r="A39" s="34">
        <v>9</v>
      </c>
      <c r="B39" s="32" t="s">
        <v>28</v>
      </c>
      <c r="C39" s="5" t="s">
        <v>220</v>
      </c>
      <c r="D39" s="5">
        <v>2</v>
      </c>
      <c r="E39" s="5" t="s">
        <v>174</v>
      </c>
      <c r="F39" s="30">
        <v>41.16</v>
      </c>
      <c r="G39" s="30">
        <v>10262</v>
      </c>
      <c r="H39" s="30"/>
      <c r="I39" s="5"/>
      <c r="J39" s="5">
        <v>2</v>
      </c>
      <c r="K39" s="5" t="s">
        <v>174</v>
      </c>
      <c r="L39" s="30">
        <v>99.75</v>
      </c>
      <c r="M39" s="30">
        <v>12751</v>
      </c>
      <c r="N39" s="5"/>
      <c r="O39" s="5"/>
      <c r="P39" s="5">
        <v>2</v>
      </c>
      <c r="Q39" s="5" t="s">
        <v>176</v>
      </c>
      <c r="R39" s="30">
        <v>28.12</v>
      </c>
      <c r="S39" s="30">
        <v>3715</v>
      </c>
      <c r="T39" s="5"/>
      <c r="U39" s="5"/>
      <c r="V39" s="5">
        <v>2</v>
      </c>
      <c r="W39" s="5" t="s">
        <v>176</v>
      </c>
      <c r="X39" s="30">
        <v>23.23</v>
      </c>
      <c r="Y39" s="30">
        <v>3144</v>
      </c>
      <c r="Z39" s="5"/>
      <c r="AA39" s="5"/>
      <c r="AB39" s="5">
        <v>2</v>
      </c>
      <c r="AC39" s="31" t="s">
        <v>175</v>
      </c>
      <c r="AD39" s="30">
        <v>27.11</v>
      </c>
      <c r="AE39" s="30">
        <v>4648</v>
      </c>
      <c r="AF39" s="5"/>
      <c r="AG39" s="5"/>
      <c r="AH39" s="5">
        <v>2</v>
      </c>
      <c r="AI39" s="5" t="s">
        <v>180</v>
      </c>
      <c r="AJ39" s="5" t="s">
        <v>180</v>
      </c>
      <c r="AK39" s="5" t="s">
        <v>180</v>
      </c>
    </row>
    <row r="40" spans="1:37" x14ac:dyDescent="0.2">
      <c r="A40" s="34">
        <v>10</v>
      </c>
      <c r="B40" s="32" t="s">
        <v>29</v>
      </c>
      <c r="C40" s="5" t="s">
        <v>220</v>
      </c>
      <c r="D40" s="5">
        <v>2</v>
      </c>
      <c r="E40" s="5" t="s">
        <v>174</v>
      </c>
      <c r="F40" s="30">
        <v>29.04</v>
      </c>
      <c r="G40" s="30">
        <v>8488</v>
      </c>
      <c r="H40" s="30"/>
      <c r="I40" s="5"/>
      <c r="J40" s="5">
        <v>2</v>
      </c>
      <c r="K40" s="5" t="s">
        <v>174</v>
      </c>
      <c r="L40" s="30">
        <v>85.09</v>
      </c>
      <c r="M40" s="30">
        <v>12421</v>
      </c>
      <c r="N40" s="5"/>
      <c r="O40" s="5"/>
      <c r="P40" s="5">
        <v>2</v>
      </c>
      <c r="Q40" s="5" t="s">
        <v>174</v>
      </c>
      <c r="R40" s="30">
        <v>32.86</v>
      </c>
      <c r="S40" s="30">
        <v>4485</v>
      </c>
      <c r="T40" s="5"/>
      <c r="U40" s="5"/>
      <c r="V40" s="5">
        <v>2</v>
      </c>
      <c r="W40" s="5" t="s">
        <v>174</v>
      </c>
      <c r="X40" s="30">
        <v>58.1</v>
      </c>
      <c r="Y40" s="30">
        <v>4271</v>
      </c>
      <c r="Z40" s="5"/>
      <c r="AA40" s="5"/>
      <c r="AB40" s="5">
        <v>2</v>
      </c>
      <c r="AC40" s="31" t="s">
        <v>173</v>
      </c>
      <c r="AD40" s="30">
        <v>14.61</v>
      </c>
      <c r="AE40" s="30">
        <v>5080</v>
      </c>
      <c r="AF40" s="5"/>
      <c r="AG40" s="5"/>
      <c r="AH40" s="5">
        <v>2</v>
      </c>
      <c r="AI40" s="5" t="s">
        <v>180</v>
      </c>
      <c r="AJ40" s="5" t="s">
        <v>180</v>
      </c>
      <c r="AK40" s="5" t="s">
        <v>180</v>
      </c>
    </row>
    <row r="41" spans="1:37" x14ac:dyDescent="0.2">
      <c r="A41" s="34">
        <v>11</v>
      </c>
      <c r="B41" s="32" t="s">
        <v>30</v>
      </c>
      <c r="C41" s="5" t="s">
        <v>220</v>
      </c>
      <c r="D41" s="5">
        <v>2</v>
      </c>
      <c r="E41" s="5" t="s">
        <v>174</v>
      </c>
      <c r="F41" s="30">
        <v>18.39</v>
      </c>
      <c r="G41" s="30">
        <v>6663</v>
      </c>
      <c r="H41" s="30"/>
      <c r="I41" s="5"/>
      <c r="J41" s="5">
        <v>2</v>
      </c>
      <c r="K41" s="5" t="s">
        <v>174</v>
      </c>
      <c r="L41" s="30">
        <v>46.98</v>
      </c>
      <c r="M41" s="30">
        <v>8174</v>
      </c>
      <c r="N41" s="5"/>
      <c r="O41" s="5"/>
      <c r="P41" s="5">
        <v>2</v>
      </c>
      <c r="Q41" s="5" t="s">
        <v>174</v>
      </c>
      <c r="R41" s="30">
        <v>37.85</v>
      </c>
      <c r="S41" s="30">
        <v>4621</v>
      </c>
      <c r="T41" s="5"/>
      <c r="U41" s="5"/>
      <c r="V41" s="5">
        <v>2</v>
      </c>
      <c r="W41" s="5" t="s">
        <v>176</v>
      </c>
      <c r="X41" s="30">
        <v>66.3</v>
      </c>
      <c r="Y41" s="30">
        <v>4328</v>
      </c>
      <c r="Z41" s="5"/>
      <c r="AA41" s="5"/>
      <c r="AB41" s="5">
        <v>2</v>
      </c>
      <c r="AC41" s="31" t="s">
        <v>173</v>
      </c>
      <c r="AD41" s="30">
        <v>14.92</v>
      </c>
      <c r="AE41" s="30">
        <v>5089</v>
      </c>
      <c r="AF41" s="5"/>
      <c r="AG41" s="5"/>
      <c r="AH41" s="5">
        <v>2</v>
      </c>
      <c r="AI41" s="5" t="s">
        <v>180</v>
      </c>
      <c r="AJ41" s="5" t="s">
        <v>180</v>
      </c>
      <c r="AK41" s="5" t="s">
        <v>180</v>
      </c>
    </row>
    <row r="42" spans="1:37" x14ac:dyDescent="0.2">
      <c r="A42" s="34">
        <v>12</v>
      </c>
      <c r="B42" s="32" t="s">
        <v>31</v>
      </c>
      <c r="C42" s="5" t="s">
        <v>220</v>
      </c>
      <c r="D42" s="5">
        <v>2</v>
      </c>
      <c r="E42" s="5" t="s">
        <v>174</v>
      </c>
      <c r="F42" s="30">
        <v>46.21</v>
      </c>
      <c r="G42" s="30">
        <v>11923</v>
      </c>
      <c r="H42" s="30"/>
      <c r="I42" s="5"/>
      <c r="J42" s="5">
        <v>2</v>
      </c>
      <c r="K42" s="5" t="s">
        <v>174</v>
      </c>
      <c r="L42" s="30">
        <v>53.04</v>
      </c>
      <c r="M42" s="30">
        <v>9212</v>
      </c>
      <c r="N42" s="5"/>
      <c r="O42" s="5"/>
      <c r="P42" s="5">
        <v>2</v>
      </c>
      <c r="Q42" s="5" t="s">
        <v>176</v>
      </c>
      <c r="R42" s="30">
        <v>47.04</v>
      </c>
      <c r="S42" s="30">
        <v>4989</v>
      </c>
      <c r="T42" s="5"/>
      <c r="U42" s="5"/>
      <c r="V42" s="5">
        <v>2</v>
      </c>
      <c r="W42" s="5" t="s">
        <v>176</v>
      </c>
      <c r="X42" s="30">
        <v>45.1</v>
      </c>
      <c r="Y42" s="30">
        <v>4658</v>
      </c>
      <c r="Z42" s="5"/>
      <c r="AA42" s="5"/>
      <c r="AB42" s="5">
        <v>2</v>
      </c>
      <c r="AC42" s="31" t="s">
        <v>173</v>
      </c>
      <c r="AD42" s="30">
        <v>18.02</v>
      </c>
      <c r="AE42" s="30">
        <v>5448</v>
      </c>
      <c r="AF42" s="5"/>
      <c r="AG42" s="5"/>
      <c r="AH42" s="5">
        <v>2</v>
      </c>
      <c r="AI42" s="5" t="s">
        <v>180</v>
      </c>
      <c r="AJ42" s="5" t="s">
        <v>180</v>
      </c>
      <c r="AK42" s="5" t="s">
        <v>180</v>
      </c>
    </row>
    <row r="43" spans="1:37" x14ac:dyDescent="0.2">
      <c r="A43" s="34">
        <v>13</v>
      </c>
      <c r="B43" s="32" t="s">
        <v>32</v>
      </c>
      <c r="C43" s="5" t="s">
        <v>220</v>
      </c>
      <c r="D43" s="5">
        <v>2</v>
      </c>
      <c r="E43" s="5" t="s">
        <v>176</v>
      </c>
      <c r="F43" s="30">
        <v>66.94</v>
      </c>
      <c r="G43" s="30">
        <v>15632</v>
      </c>
      <c r="H43" s="30"/>
      <c r="I43" s="5"/>
      <c r="J43" s="5">
        <v>2</v>
      </c>
      <c r="K43" s="5" t="s">
        <v>176</v>
      </c>
      <c r="L43" s="30">
        <v>71.88</v>
      </c>
      <c r="M43" s="30">
        <v>10972</v>
      </c>
      <c r="N43" s="5"/>
      <c r="O43" s="5"/>
      <c r="P43" s="5">
        <v>2</v>
      </c>
      <c r="Q43" s="5" t="s">
        <v>176</v>
      </c>
      <c r="R43" s="30">
        <v>34.270000000000003</v>
      </c>
      <c r="S43" s="30">
        <v>4764</v>
      </c>
      <c r="T43" s="5"/>
      <c r="U43" s="5"/>
      <c r="V43" s="5">
        <v>2</v>
      </c>
      <c r="W43" s="5" t="s">
        <v>176</v>
      </c>
      <c r="X43" s="30">
        <v>68.44</v>
      </c>
      <c r="Y43" s="30">
        <v>4691</v>
      </c>
      <c r="Z43" s="5"/>
      <c r="AA43" s="5"/>
      <c r="AB43" s="5">
        <v>2</v>
      </c>
      <c r="AC43" s="31" t="s">
        <v>175</v>
      </c>
      <c r="AD43" s="30">
        <v>18.809999999999999</v>
      </c>
      <c r="AE43" s="30">
        <v>5344</v>
      </c>
      <c r="AF43" s="5"/>
      <c r="AG43" s="5"/>
      <c r="AH43" s="5">
        <v>2</v>
      </c>
      <c r="AI43" s="5" t="s">
        <v>180</v>
      </c>
      <c r="AJ43" s="5" t="s">
        <v>180</v>
      </c>
      <c r="AK43" s="5" t="s">
        <v>180</v>
      </c>
    </row>
    <row r="44" spans="1:37" x14ac:dyDescent="0.2">
      <c r="A44" s="34">
        <v>14</v>
      </c>
      <c r="B44" s="32" t="s">
        <v>0</v>
      </c>
      <c r="C44" s="5" t="s">
        <v>221</v>
      </c>
      <c r="D44" s="5">
        <v>2</v>
      </c>
      <c r="E44" s="5" t="s">
        <v>174</v>
      </c>
      <c r="F44" s="30">
        <v>16.55</v>
      </c>
      <c r="G44" s="30">
        <v>5595</v>
      </c>
      <c r="H44" s="30"/>
      <c r="I44" s="5"/>
      <c r="J44" s="5">
        <v>2</v>
      </c>
      <c r="K44" s="5" t="s">
        <v>174</v>
      </c>
      <c r="L44" s="30">
        <v>45.29</v>
      </c>
      <c r="M44" s="30">
        <v>7388</v>
      </c>
      <c r="N44" s="5"/>
      <c r="O44" s="5"/>
      <c r="P44" s="5">
        <v>2</v>
      </c>
      <c r="Q44" s="5" t="s">
        <v>176</v>
      </c>
      <c r="R44" s="30">
        <v>18.760000000000002</v>
      </c>
      <c r="S44" s="30">
        <v>3306</v>
      </c>
      <c r="T44" s="5"/>
      <c r="U44" s="5"/>
      <c r="V44" s="5">
        <v>2</v>
      </c>
      <c r="W44" s="5" t="s">
        <v>176</v>
      </c>
      <c r="X44" s="30">
        <v>27.13</v>
      </c>
      <c r="Y44" s="30">
        <v>3019</v>
      </c>
      <c r="Z44" s="5"/>
      <c r="AA44" s="5"/>
      <c r="AB44" s="5">
        <v>2</v>
      </c>
      <c r="AC44" s="31" t="s">
        <v>173</v>
      </c>
      <c r="AD44" s="30">
        <v>11.39</v>
      </c>
      <c r="AE44" s="30">
        <v>3705</v>
      </c>
      <c r="AF44" s="5"/>
      <c r="AG44" s="5"/>
      <c r="AH44" s="5">
        <v>2</v>
      </c>
      <c r="AI44" s="5" t="s">
        <v>180</v>
      </c>
      <c r="AJ44" s="5" t="s">
        <v>180</v>
      </c>
      <c r="AK44" s="5" t="s">
        <v>180</v>
      </c>
    </row>
    <row r="45" spans="1:37" x14ac:dyDescent="0.2">
      <c r="A45" s="34">
        <v>15</v>
      </c>
      <c r="B45" s="32" t="s">
        <v>4</v>
      </c>
      <c r="C45" s="5" t="s">
        <v>221</v>
      </c>
      <c r="D45" s="5">
        <v>2</v>
      </c>
      <c r="E45" s="5" t="s">
        <v>174</v>
      </c>
      <c r="F45" s="30">
        <v>31.6</v>
      </c>
      <c r="G45" s="30">
        <v>8470</v>
      </c>
      <c r="H45" s="30"/>
      <c r="I45" s="5"/>
      <c r="J45" s="5">
        <v>2</v>
      </c>
      <c r="K45" s="5" t="s">
        <v>174</v>
      </c>
      <c r="L45" s="30">
        <v>59.48</v>
      </c>
      <c r="M45" s="30">
        <v>8941</v>
      </c>
      <c r="N45" s="5"/>
      <c r="O45" s="5"/>
      <c r="P45" s="5">
        <v>2</v>
      </c>
      <c r="Q45" s="5" t="s">
        <v>174</v>
      </c>
      <c r="R45" s="30">
        <v>24.89</v>
      </c>
      <c r="S45" s="30">
        <v>3420</v>
      </c>
      <c r="T45" s="5"/>
      <c r="U45" s="5"/>
      <c r="V45" s="5">
        <v>2</v>
      </c>
      <c r="W45" s="5" t="s">
        <v>174</v>
      </c>
      <c r="X45" s="30">
        <v>32.49</v>
      </c>
      <c r="Y45" s="30">
        <v>3281</v>
      </c>
      <c r="Z45" s="5"/>
      <c r="AA45" s="5"/>
      <c r="AB45" s="5">
        <v>2</v>
      </c>
      <c r="AC45" s="31" t="s">
        <v>173</v>
      </c>
      <c r="AD45" s="30">
        <v>13.08</v>
      </c>
      <c r="AE45" s="30">
        <v>3838</v>
      </c>
      <c r="AF45" s="5"/>
      <c r="AG45" s="5"/>
      <c r="AH45" s="5">
        <v>2</v>
      </c>
      <c r="AI45" s="5" t="s">
        <v>180</v>
      </c>
      <c r="AJ45" s="5" t="s">
        <v>180</v>
      </c>
      <c r="AK45" s="5" t="s">
        <v>180</v>
      </c>
    </row>
    <row r="46" spans="1:37" x14ac:dyDescent="0.2">
      <c r="A46" s="34">
        <v>16</v>
      </c>
      <c r="B46" s="32" t="s">
        <v>8</v>
      </c>
      <c r="C46" s="5" t="s">
        <v>221</v>
      </c>
      <c r="D46" s="5">
        <v>2</v>
      </c>
      <c r="E46" s="5" t="s">
        <v>174</v>
      </c>
      <c r="F46" s="30">
        <v>55.18</v>
      </c>
      <c r="G46" s="30">
        <v>13057</v>
      </c>
      <c r="H46" s="30"/>
      <c r="I46" s="5"/>
      <c r="J46" s="5">
        <v>2</v>
      </c>
      <c r="K46" s="5" t="s">
        <v>174</v>
      </c>
      <c r="L46" s="30">
        <v>45.76</v>
      </c>
      <c r="M46" s="30">
        <v>7469</v>
      </c>
      <c r="N46" s="5"/>
      <c r="O46" s="5"/>
      <c r="P46" s="5">
        <v>2</v>
      </c>
      <c r="Q46" s="5" t="s">
        <v>176</v>
      </c>
      <c r="R46" s="30">
        <v>28.75</v>
      </c>
      <c r="S46" s="30">
        <v>3639</v>
      </c>
      <c r="T46" s="5"/>
      <c r="U46" s="5"/>
      <c r="V46" s="5">
        <v>2</v>
      </c>
      <c r="W46" s="5" t="s">
        <v>174</v>
      </c>
      <c r="X46" s="30">
        <v>33.270000000000003</v>
      </c>
      <c r="Y46" s="30">
        <v>3432</v>
      </c>
      <c r="Z46" s="5"/>
      <c r="AA46" s="5"/>
      <c r="AB46" s="5">
        <v>2</v>
      </c>
      <c r="AC46" s="31" t="s">
        <v>173</v>
      </c>
      <c r="AD46" s="30">
        <v>14.82</v>
      </c>
      <c r="AE46" s="30">
        <v>4021</v>
      </c>
      <c r="AF46" s="5"/>
      <c r="AG46" s="5"/>
      <c r="AH46" s="5">
        <v>2</v>
      </c>
      <c r="AI46" s="5" t="s">
        <v>180</v>
      </c>
      <c r="AJ46" s="5" t="s">
        <v>180</v>
      </c>
      <c r="AK46" s="5" t="s">
        <v>180</v>
      </c>
    </row>
    <row r="47" spans="1:37" x14ac:dyDescent="0.2">
      <c r="A47" s="34">
        <v>17</v>
      </c>
      <c r="B47" s="32" t="s">
        <v>12</v>
      </c>
      <c r="C47" s="5" t="s">
        <v>221</v>
      </c>
      <c r="D47" s="5">
        <v>2</v>
      </c>
      <c r="E47" s="5" t="s">
        <v>174</v>
      </c>
      <c r="F47" s="30">
        <v>46.46</v>
      </c>
      <c r="G47" s="30">
        <v>11434</v>
      </c>
      <c r="H47" s="30"/>
      <c r="I47" s="5"/>
      <c r="J47" s="5">
        <v>2</v>
      </c>
      <c r="K47" s="5" t="s">
        <v>176</v>
      </c>
      <c r="L47" s="30">
        <v>80.48</v>
      </c>
      <c r="M47" s="30">
        <v>11273</v>
      </c>
      <c r="N47" s="5"/>
      <c r="O47" s="5"/>
      <c r="P47" s="5">
        <v>2</v>
      </c>
      <c r="Q47" s="5" t="s">
        <v>176</v>
      </c>
      <c r="R47" s="30">
        <v>24.33</v>
      </c>
      <c r="S47" s="30">
        <v>3656</v>
      </c>
      <c r="T47" s="5"/>
      <c r="U47" s="5"/>
      <c r="V47" s="5">
        <v>2</v>
      </c>
      <c r="W47" s="5" t="s">
        <v>176</v>
      </c>
      <c r="X47" s="30">
        <v>25.76</v>
      </c>
      <c r="Y47" s="30">
        <v>3426</v>
      </c>
      <c r="Z47" s="5"/>
      <c r="AA47" s="5"/>
      <c r="AB47" s="5">
        <v>2</v>
      </c>
      <c r="AC47" s="31" t="s">
        <v>173</v>
      </c>
      <c r="AD47" s="30">
        <v>12.36</v>
      </c>
      <c r="AE47" s="30">
        <v>4128</v>
      </c>
      <c r="AF47" s="5"/>
      <c r="AG47" s="5"/>
      <c r="AH47" s="5">
        <v>2</v>
      </c>
      <c r="AI47" s="5" t="s">
        <v>180</v>
      </c>
      <c r="AJ47" s="5" t="s">
        <v>180</v>
      </c>
      <c r="AK47" s="5" t="s">
        <v>180</v>
      </c>
    </row>
    <row r="48" spans="1:37" x14ac:dyDescent="0.2">
      <c r="A48" s="34">
        <v>18</v>
      </c>
      <c r="B48" s="32" t="s">
        <v>20</v>
      </c>
      <c r="C48" s="5" t="s">
        <v>221</v>
      </c>
      <c r="D48" s="5">
        <v>2</v>
      </c>
      <c r="E48" s="5" t="s">
        <v>174</v>
      </c>
      <c r="F48" s="30">
        <v>37.9</v>
      </c>
      <c r="G48" s="30">
        <v>9989</v>
      </c>
      <c r="H48" s="30"/>
      <c r="I48" s="5"/>
      <c r="J48" s="5">
        <v>2</v>
      </c>
      <c r="K48" s="5" t="s">
        <v>174</v>
      </c>
      <c r="L48" s="30">
        <v>69.739999999999995</v>
      </c>
      <c r="M48" s="30">
        <v>10261</v>
      </c>
      <c r="N48" s="5"/>
      <c r="O48" s="5"/>
      <c r="P48" s="5">
        <v>2</v>
      </c>
      <c r="Q48" s="5" t="s">
        <v>174</v>
      </c>
      <c r="R48" s="30">
        <v>27.18</v>
      </c>
      <c r="S48" s="30">
        <v>3738</v>
      </c>
      <c r="T48" s="5"/>
      <c r="U48" s="5"/>
      <c r="V48" s="5">
        <v>2</v>
      </c>
      <c r="W48" s="5" t="s">
        <v>176</v>
      </c>
      <c r="X48" s="30">
        <v>39.869999999999997</v>
      </c>
      <c r="Y48" s="30">
        <v>3600</v>
      </c>
      <c r="Z48" s="5"/>
      <c r="AA48" s="5"/>
      <c r="AB48" s="5">
        <v>2</v>
      </c>
      <c r="AC48" s="31" t="s">
        <v>173</v>
      </c>
      <c r="AD48" s="30">
        <v>14.19</v>
      </c>
      <c r="AE48" s="30">
        <v>4287</v>
      </c>
      <c r="AF48" s="5"/>
      <c r="AG48" s="5"/>
      <c r="AH48" s="5">
        <v>2</v>
      </c>
      <c r="AI48" s="5" t="s">
        <v>180</v>
      </c>
      <c r="AJ48" s="5" t="s">
        <v>180</v>
      </c>
      <c r="AK48" s="5" t="s">
        <v>180</v>
      </c>
    </row>
    <row r="49" spans="1:37" x14ac:dyDescent="0.2">
      <c r="A49" s="34">
        <v>19</v>
      </c>
      <c r="B49" s="32" t="s">
        <v>23</v>
      </c>
      <c r="C49" s="5" t="s">
        <v>221</v>
      </c>
      <c r="D49" s="5">
        <v>2</v>
      </c>
      <c r="E49" s="5" t="s">
        <v>174</v>
      </c>
      <c r="F49" s="30">
        <v>48.01</v>
      </c>
      <c r="G49" s="30">
        <v>11936</v>
      </c>
      <c r="H49" s="30"/>
      <c r="I49" s="5"/>
      <c r="J49" s="5">
        <v>2</v>
      </c>
      <c r="K49" s="5" t="s">
        <v>174</v>
      </c>
      <c r="L49" s="30">
        <v>54.78</v>
      </c>
      <c r="M49" s="30">
        <v>8970</v>
      </c>
      <c r="N49" s="5"/>
      <c r="O49" s="5"/>
      <c r="P49" s="5">
        <v>2</v>
      </c>
      <c r="Q49" s="5" t="s">
        <v>176</v>
      </c>
      <c r="R49" s="30">
        <v>24.7</v>
      </c>
      <c r="S49" s="30">
        <v>3712</v>
      </c>
      <c r="T49" s="5"/>
      <c r="U49" s="5"/>
      <c r="V49" s="5">
        <v>2</v>
      </c>
      <c r="W49" s="5" t="s">
        <v>176</v>
      </c>
      <c r="X49" s="30">
        <v>25.92</v>
      </c>
      <c r="Y49" s="30">
        <v>3564</v>
      </c>
      <c r="Z49" s="5"/>
      <c r="AA49" s="5"/>
      <c r="AB49" s="5">
        <v>2</v>
      </c>
      <c r="AC49" s="31" t="s">
        <v>173</v>
      </c>
      <c r="AD49" s="30">
        <v>14.51</v>
      </c>
      <c r="AE49" s="30">
        <v>4274</v>
      </c>
      <c r="AF49" s="5"/>
      <c r="AG49" s="5"/>
      <c r="AH49" s="5">
        <v>2</v>
      </c>
      <c r="AI49" s="5" t="s">
        <v>180</v>
      </c>
      <c r="AJ49" s="5" t="s">
        <v>180</v>
      </c>
      <c r="AK49" s="5" t="s">
        <v>180</v>
      </c>
    </row>
    <row r="50" spans="1:37" x14ac:dyDescent="0.2">
      <c r="A50" s="34">
        <v>20</v>
      </c>
      <c r="B50" s="32" t="s">
        <v>26</v>
      </c>
      <c r="C50" s="5" t="s">
        <v>221</v>
      </c>
      <c r="D50" s="5">
        <v>2</v>
      </c>
      <c r="E50" s="5" t="s">
        <v>174</v>
      </c>
      <c r="F50" s="30">
        <v>57.41</v>
      </c>
      <c r="G50" s="30">
        <v>12682</v>
      </c>
      <c r="H50" s="30"/>
      <c r="I50" s="5"/>
      <c r="J50" s="5">
        <v>2</v>
      </c>
      <c r="K50" s="5" t="s">
        <v>174</v>
      </c>
      <c r="L50" s="30">
        <v>76.209999999999994</v>
      </c>
      <c r="M50" s="30">
        <v>10599</v>
      </c>
      <c r="N50" s="5"/>
      <c r="O50" s="5"/>
      <c r="P50" s="5">
        <v>2</v>
      </c>
      <c r="Q50" s="5" t="s">
        <v>176</v>
      </c>
      <c r="R50" s="30">
        <v>22.4</v>
      </c>
      <c r="S50" s="30">
        <v>3469</v>
      </c>
      <c r="T50" s="5"/>
      <c r="U50" s="5"/>
      <c r="V50" s="5">
        <v>2</v>
      </c>
      <c r="W50" s="5" t="s">
        <v>174</v>
      </c>
      <c r="X50" s="30">
        <v>23.38</v>
      </c>
      <c r="Y50" s="30">
        <v>3200</v>
      </c>
      <c r="Z50" s="5"/>
      <c r="AA50" s="5"/>
      <c r="AB50" s="5">
        <v>2</v>
      </c>
      <c r="AC50" s="31" t="s">
        <v>173</v>
      </c>
      <c r="AD50" s="30">
        <v>11.51</v>
      </c>
      <c r="AE50" s="30">
        <v>3843</v>
      </c>
      <c r="AF50" s="5"/>
      <c r="AG50" s="5"/>
      <c r="AH50" s="5">
        <v>2</v>
      </c>
      <c r="AI50" s="5" t="s">
        <v>180</v>
      </c>
      <c r="AJ50" s="5" t="s">
        <v>180</v>
      </c>
      <c r="AK50" s="5" t="s">
        <v>180</v>
      </c>
    </row>
    <row r="51" spans="1:37" x14ac:dyDescent="0.2">
      <c r="A51" s="34">
        <v>21</v>
      </c>
      <c r="B51" s="32" t="s">
        <v>27</v>
      </c>
      <c r="C51" s="5" t="s">
        <v>221</v>
      </c>
      <c r="D51" s="5">
        <v>2</v>
      </c>
      <c r="E51" s="5" t="s">
        <v>174</v>
      </c>
      <c r="F51" s="30">
        <v>58.23</v>
      </c>
      <c r="G51" s="30">
        <v>12992</v>
      </c>
      <c r="H51" s="30"/>
      <c r="I51" s="5"/>
      <c r="J51" s="5">
        <v>2</v>
      </c>
      <c r="K51" s="5" t="s">
        <v>174</v>
      </c>
      <c r="L51" s="30">
        <v>75.36</v>
      </c>
      <c r="M51" s="30">
        <v>10698</v>
      </c>
      <c r="N51" s="5"/>
      <c r="O51" s="5"/>
      <c r="P51" s="5">
        <v>2</v>
      </c>
      <c r="Q51" s="5" t="s">
        <v>176</v>
      </c>
      <c r="R51" s="30">
        <v>29.62</v>
      </c>
      <c r="S51" s="30">
        <v>3660</v>
      </c>
      <c r="T51" s="5"/>
      <c r="U51" s="5"/>
      <c r="V51" s="5">
        <v>2</v>
      </c>
      <c r="W51" s="5" t="s">
        <v>176</v>
      </c>
      <c r="X51" s="30">
        <v>52.86</v>
      </c>
      <c r="Y51" s="30">
        <v>3671</v>
      </c>
      <c r="Z51" s="5"/>
      <c r="AA51" s="5"/>
      <c r="AB51" s="5">
        <v>2</v>
      </c>
      <c r="AC51" s="31" t="s">
        <v>173</v>
      </c>
      <c r="AD51" s="30">
        <v>16.95</v>
      </c>
      <c r="AE51" s="30">
        <v>4272</v>
      </c>
      <c r="AF51" s="5"/>
      <c r="AG51" s="5"/>
      <c r="AH51" s="5">
        <v>2</v>
      </c>
      <c r="AI51" s="5" t="s">
        <v>180</v>
      </c>
      <c r="AJ51" s="5" t="s">
        <v>180</v>
      </c>
      <c r="AK51" s="5" t="s">
        <v>180</v>
      </c>
    </row>
    <row r="52" spans="1:37" x14ac:dyDescent="0.2">
      <c r="A52" s="34">
        <v>22</v>
      </c>
      <c r="B52" s="32" t="s">
        <v>28</v>
      </c>
      <c r="C52" s="5" t="s">
        <v>221</v>
      </c>
      <c r="D52" s="5">
        <v>2</v>
      </c>
      <c r="E52" s="5" t="s">
        <v>174</v>
      </c>
      <c r="F52" s="30">
        <v>46.46</v>
      </c>
      <c r="G52" s="30">
        <v>10998</v>
      </c>
      <c r="H52" s="30"/>
      <c r="I52" s="5"/>
      <c r="J52" s="5">
        <v>2</v>
      </c>
      <c r="K52" s="5" t="s">
        <v>174</v>
      </c>
      <c r="L52" s="30">
        <v>153.09</v>
      </c>
      <c r="M52" s="30">
        <v>18620</v>
      </c>
      <c r="N52" s="5"/>
      <c r="O52" s="5"/>
      <c r="P52" s="5">
        <v>2</v>
      </c>
      <c r="Q52" s="5" t="s">
        <v>176</v>
      </c>
      <c r="R52" s="30">
        <v>33.35</v>
      </c>
      <c r="S52" s="30">
        <v>3871</v>
      </c>
      <c r="T52" s="5"/>
      <c r="U52" s="5"/>
      <c r="V52" s="5">
        <v>2</v>
      </c>
      <c r="W52" s="5" t="s">
        <v>176</v>
      </c>
      <c r="X52" s="30">
        <v>24.78</v>
      </c>
      <c r="Y52" s="30">
        <v>3287</v>
      </c>
      <c r="Z52" s="5"/>
      <c r="AA52" s="5"/>
      <c r="AB52" s="5">
        <v>2</v>
      </c>
      <c r="AC52" s="31" t="s">
        <v>175</v>
      </c>
      <c r="AD52" s="30">
        <v>21.99</v>
      </c>
      <c r="AE52" s="30">
        <v>4617</v>
      </c>
      <c r="AF52" s="5"/>
      <c r="AG52" s="5"/>
      <c r="AH52" s="5">
        <v>2</v>
      </c>
      <c r="AI52" s="5" t="s">
        <v>180</v>
      </c>
      <c r="AJ52" s="5" t="s">
        <v>180</v>
      </c>
      <c r="AK52" s="5" t="s">
        <v>180</v>
      </c>
    </row>
    <row r="53" spans="1:37" x14ac:dyDescent="0.2">
      <c r="A53" s="34">
        <v>23</v>
      </c>
      <c r="B53" s="32" t="s">
        <v>29</v>
      </c>
      <c r="C53" s="5" t="s">
        <v>221</v>
      </c>
      <c r="D53" s="5">
        <v>2</v>
      </c>
      <c r="E53" s="5" t="s">
        <v>174</v>
      </c>
      <c r="F53" s="30">
        <v>35.19</v>
      </c>
      <c r="G53" s="30">
        <v>9585</v>
      </c>
      <c r="H53" s="30"/>
      <c r="I53" s="5"/>
      <c r="J53" s="5">
        <v>2</v>
      </c>
      <c r="K53" s="5" t="s">
        <v>174</v>
      </c>
      <c r="L53" s="30">
        <v>58.19</v>
      </c>
      <c r="M53" s="30">
        <v>9546</v>
      </c>
      <c r="N53" s="5"/>
      <c r="O53" s="5"/>
      <c r="P53" s="5">
        <v>2</v>
      </c>
      <c r="Q53" s="5" t="s">
        <v>174</v>
      </c>
      <c r="R53" s="30">
        <v>32.68</v>
      </c>
      <c r="S53" s="30">
        <v>4520</v>
      </c>
      <c r="T53" s="5"/>
      <c r="U53" s="5"/>
      <c r="V53" s="5">
        <v>2</v>
      </c>
      <c r="W53" s="5" t="s">
        <v>173</v>
      </c>
      <c r="X53" s="30">
        <v>40.82</v>
      </c>
      <c r="Y53" s="30">
        <v>4195</v>
      </c>
      <c r="Z53" s="5"/>
      <c r="AA53" s="5"/>
      <c r="AB53" s="5">
        <v>2</v>
      </c>
      <c r="AC53" s="31" t="s">
        <v>175</v>
      </c>
      <c r="AD53" s="30">
        <v>24.94</v>
      </c>
      <c r="AE53" s="30">
        <v>4952</v>
      </c>
      <c r="AF53" s="5"/>
      <c r="AG53" s="5"/>
      <c r="AH53" s="5">
        <v>2</v>
      </c>
      <c r="AI53" s="5" t="s">
        <v>180</v>
      </c>
      <c r="AJ53" s="5" t="s">
        <v>180</v>
      </c>
      <c r="AK53" s="5" t="s">
        <v>180</v>
      </c>
    </row>
    <row r="54" spans="1:37" x14ac:dyDescent="0.2">
      <c r="A54" s="34">
        <v>24</v>
      </c>
      <c r="B54" s="32" t="s">
        <v>30</v>
      </c>
      <c r="C54" s="5" t="s">
        <v>221</v>
      </c>
      <c r="D54" s="5">
        <v>2</v>
      </c>
      <c r="E54" s="5" t="s">
        <v>174</v>
      </c>
      <c r="F54" s="30">
        <v>42.08</v>
      </c>
      <c r="G54" s="30">
        <v>11103</v>
      </c>
      <c r="H54" s="30"/>
      <c r="I54" s="5"/>
      <c r="J54" s="5">
        <v>2</v>
      </c>
      <c r="K54" s="5" t="s">
        <v>174</v>
      </c>
      <c r="L54" s="30">
        <v>68.28</v>
      </c>
      <c r="M54" s="30">
        <v>10245</v>
      </c>
      <c r="N54" s="5"/>
      <c r="O54" s="5"/>
      <c r="P54" s="5">
        <v>2</v>
      </c>
      <c r="Q54" s="5" t="s">
        <v>174</v>
      </c>
      <c r="R54" s="30">
        <v>34.68</v>
      </c>
      <c r="S54" s="30">
        <v>4631</v>
      </c>
      <c r="T54" s="5"/>
      <c r="U54" s="5"/>
      <c r="V54" s="5">
        <v>2</v>
      </c>
      <c r="W54" s="5" t="s">
        <v>173</v>
      </c>
      <c r="X54" s="30">
        <v>38.81</v>
      </c>
      <c r="Y54" s="30">
        <v>4371</v>
      </c>
      <c r="Z54" s="5"/>
      <c r="AA54" s="5"/>
      <c r="AB54" s="5">
        <v>2</v>
      </c>
      <c r="AC54" s="31" t="s">
        <v>173</v>
      </c>
      <c r="AD54" s="30">
        <v>95.69</v>
      </c>
      <c r="AE54" s="30">
        <v>5071</v>
      </c>
      <c r="AF54" s="5"/>
      <c r="AG54" s="5"/>
      <c r="AH54" s="5">
        <v>2</v>
      </c>
      <c r="AI54" s="5" t="s">
        <v>180</v>
      </c>
      <c r="AJ54" s="5" t="s">
        <v>180</v>
      </c>
      <c r="AK54" s="5" t="s">
        <v>180</v>
      </c>
    </row>
    <row r="55" spans="1:37" x14ac:dyDescent="0.2">
      <c r="A55" s="34">
        <v>25</v>
      </c>
      <c r="B55" s="32" t="s">
        <v>31</v>
      </c>
      <c r="C55" s="5" t="s">
        <v>221</v>
      </c>
      <c r="D55" s="5">
        <v>2</v>
      </c>
      <c r="E55" s="5" t="s">
        <v>174</v>
      </c>
      <c r="F55" s="30">
        <v>49.63</v>
      </c>
      <c r="G55" s="30">
        <v>12581</v>
      </c>
      <c r="H55" s="30"/>
      <c r="I55" s="5"/>
      <c r="J55" s="5">
        <v>2</v>
      </c>
      <c r="K55" s="5" t="s">
        <v>174</v>
      </c>
      <c r="L55" s="30">
        <v>63.09</v>
      </c>
      <c r="M55" s="30">
        <v>10211</v>
      </c>
      <c r="N55" s="5"/>
      <c r="O55" s="5"/>
      <c r="P55" s="5">
        <v>2</v>
      </c>
      <c r="Q55" s="5" t="s">
        <v>176</v>
      </c>
      <c r="R55" s="30">
        <v>44.81</v>
      </c>
      <c r="S55" s="30">
        <v>5000</v>
      </c>
      <c r="T55" s="5"/>
      <c r="U55" s="5"/>
      <c r="V55" s="5">
        <v>2</v>
      </c>
      <c r="W55" s="5" t="s">
        <v>173</v>
      </c>
      <c r="X55" s="30">
        <v>62.35</v>
      </c>
      <c r="Y55" s="30">
        <v>4793</v>
      </c>
      <c r="Z55" s="5"/>
      <c r="AA55" s="5"/>
      <c r="AB55" s="5">
        <v>2</v>
      </c>
      <c r="AC55" s="31" t="s">
        <v>175</v>
      </c>
      <c r="AD55" s="30">
        <v>17.93</v>
      </c>
      <c r="AE55" s="30">
        <v>5468</v>
      </c>
      <c r="AF55" s="5"/>
      <c r="AG55" s="5"/>
      <c r="AH55" s="5">
        <v>2</v>
      </c>
      <c r="AI55" s="5" t="s">
        <v>180</v>
      </c>
      <c r="AJ55" s="5" t="s">
        <v>180</v>
      </c>
      <c r="AK55" s="5" t="s">
        <v>180</v>
      </c>
    </row>
    <row r="56" spans="1:37" x14ac:dyDescent="0.2">
      <c r="A56" s="34">
        <v>26</v>
      </c>
      <c r="B56" s="32" t="s">
        <v>32</v>
      </c>
      <c r="C56" s="5" t="s">
        <v>221</v>
      </c>
      <c r="D56" s="5">
        <v>2</v>
      </c>
      <c r="E56" s="5" t="s">
        <v>174</v>
      </c>
      <c r="F56" s="30">
        <v>64.69</v>
      </c>
      <c r="G56" s="30">
        <v>15198</v>
      </c>
      <c r="H56" s="30"/>
      <c r="I56" s="5"/>
      <c r="J56" s="5">
        <v>2</v>
      </c>
      <c r="K56" s="5" t="s">
        <v>174</v>
      </c>
      <c r="L56" s="30">
        <v>71.78</v>
      </c>
      <c r="M56" s="30">
        <v>10903</v>
      </c>
      <c r="N56" s="5"/>
      <c r="O56" s="5"/>
      <c r="P56" s="5">
        <v>2</v>
      </c>
      <c r="Q56" s="5" t="s">
        <v>176</v>
      </c>
      <c r="R56" s="30">
        <v>44.71</v>
      </c>
      <c r="S56" s="30">
        <v>4711</v>
      </c>
      <c r="T56" s="5"/>
      <c r="U56" s="5"/>
      <c r="V56" s="5">
        <v>2</v>
      </c>
      <c r="W56" s="5" t="s">
        <v>176</v>
      </c>
      <c r="X56" s="30">
        <v>57.81</v>
      </c>
      <c r="Y56" s="30">
        <v>4777</v>
      </c>
      <c r="Z56" s="5"/>
      <c r="AA56" s="5"/>
      <c r="AB56" s="5">
        <v>2</v>
      </c>
      <c r="AC56" s="31" t="s">
        <v>175</v>
      </c>
      <c r="AD56" s="30">
        <v>18.5</v>
      </c>
      <c r="AE56" s="30">
        <v>5393</v>
      </c>
      <c r="AF56" s="5"/>
      <c r="AG56" s="5"/>
      <c r="AH56" s="5">
        <v>2</v>
      </c>
      <c r="AI56" s="5" t="s">
        <v>180</v>
      </c>
      <c r="AJ56" s="5" t="s">
        <v>180</v>
      </c>
      <c r="AK56" s="5" t="s">
        <v>180</v>
      </c>
    </row>
    <row r="59" spans="1:37" x14ac:dyDescent="0.2">
      <c r="A59" s="24" t="s">
        <v>232</v>
      </c>
      <c r="D59" s="37" t="s">
        <v>222</v>
      </c>
      <c r="E59" s="38"/>
      <c r="F59" s="38"/>
      <c r="G59" s="39"/>
      <c r="H59" s="13"/>
      <c r="J59" s="37" t="s">
        <v>223</v>
      </c>
      <c r="K59" s="38"/>
      <c r="L59" s="38"/>
      <c r="M59" s="39"/>
      <c r="N59" s="13"/>
      <c r="P59" s="37" t="s">
        <v>224</v>
      </c>
      <c r="Q59" s="38"/>
      <c r="R59" s="38"/>
      <c r="S59" s="39"/>
      <c r="T59" s="13"/>
      <c r="V59" s="37" t="s">
        <v>229</v>
      </c>
      <c r="W59" s="38"/>
      <c r="X59" s="38"/>
      <c r="Y59" s="39"/>
      <c r="Z59" s="13"/>
      <c r="AB59" s="37" t="s">
        <v>230</v>
      </c>
      <c r="AC59" s="38"/>
      <c r="AD59" s="38"/>
      <c r="AE59" s="39"/>
      <c r="AH59" s="37" t="s">
        <v>231</v>
      </c>
      <c r="AI59" s="38"/>
      <c r="AJ59" s="38"/>
      <c r="AK59" s="39"/>
    </row>
    <row r="60" spans="1:37" ht="51" x14ac:dyDescent="0.2">
      <c r="A60" s="25" t="s">
        <v>215</v>
      </c>
      <c r="B60" s="29" t="s">
        <v>233</v>
      </c>
      <c r="C60" s="25" t="s">
        <v>216</v>
      </c>
      <c r="D60" s="29" t="s">
        <v>234</v>
      </c>
      <c r="E60" s="29" t="s">
        <v>153</v>
      </c>
      <c r="F60" s="29" t="s">
        <v>155</v>
      </c>
      <c r="G60" s="25" t="s">
        <v>218</v>
      </c>
      <c r="J60" s="29" t="s">
        <v>234</v>
      </c>
      <c r="K60" s="29" t="s">
        <v>153</v>
      </c>
      <c r="L60" s="29" t="s">
        <v>155</v>
      </c>
      <c r="M60" s="25" t="s">
        <v>218</v>
      </c>
      <c r="P60" s="29" t="s">
        <v>234</v>
      </c>
      <c r="Q60" s="29" t="s">
        <v>153</v>
      </c>
      <c r="R60" s="29" t="s">
        <v>155</v>
      </c>
      <c r="S60" s="25" t="s">
        <v>218</v>
      </c>
      <c r="V60" s="29" t="s">
        <v>234</v>
      </c>
      <c r="W60" s="29" t="s">
        <v>153</v>
      </c>
      <c r="X60" s="29" t="s">
        <v>155</v>
      </c>
      <c r="Y60" s="25" t="s">
        <v>218</v>
      </c>
      <c r="AB60" s="29" t="s">
        <v>234</v>
      </c>
      <c r="AC60" s="29" t="s">
        <v>153</v>
      </c>
      <c r="AD60" s="29" t="s">
        <v>155</v>
      </c>
      <c r="AE60" s="25" t="s">
        <v>218</v>
      </c>
      <c r="AH60" s="29" t="s">
        <v>234</v>
      </c>
      <c r="AI60" s="29" t="s">
        <v>153</v>
      </c>
      <c r="AJ60" s="29" t="s">
        <v>155</v>
      </c>
      <c r="AK60" s="25" t="s">
        <v>218</v>
      </c>
    </row>
    <row r="61" spans="1:37" x14ac:dyDescent="0.2">
      <c r="A61" s="34">
        <v>1</v>
      </c>
      <c r="B61" s="12" t="s">
        <v>52</v>
      </c>
      <c r="C61" s="5">
        <v>1</v>
      </c>
      <c r="D61" s="4" t="s">
        <v>235</v>
      </c>
      <c r="E61" s="11" t="s">
        <v>173</v>
      </c>
      <c r="F61" s="28">
        <v>4.62</v>
      </c>
      <c r="G61" s="28">
        <v>2256</v>
      </c>
      <c r="J61" s="4" t="s">
        <v>235</v>
      </c>
      <c r="K61" s="4" t="s">
        <v>173</v>
      </c>
      <c r="L61" s="4">
        <v>14.7</v>
      </c>
      <c r="M61" s="4">
        <v>3094</v>
      </c>
      <c r="P61" s="4" t="s">
        <v>235</v>
      </c>
      <c r="Q61" s="4" t="s">
        <v>173</v>
      </c>
      <c r="R61" s="4">
        <v>7.9</v>
      </c>
      <c r="S61" s="4">
        <v>1832</v>
      </c>
      <c r="V61" s="4" t="s">
        <v>235</v>
      </c>
      <c r="W61" s="4" t="s">
        <v>173</v>
      </c>
      <c r="X61" s="4">
        <v>9.5299999999999994</v>
      </c>
      <c r="Y61" s="4">
        <v>1626</v>
      </c>
      <c r="AB61" s="4" t="s">
        <v>235</v>
      </c>
      <c r="AC61" s="4" t="s">
        <v>173</v>
      </c>
      <c r="AD61" s="4">
        <v>6.38</v>
      </c>
      <c r="AE61" s="4">
        <v>2033</v>
      </c>
      <c r="AH61" s="4" t="s">
        <v>235</v>
      </c>
      <c r="AI61" s="4" t="s">
        <v>175</v>
      </c>
      <c r="AJ61" s="4">
        <v>24.31</v>
      </c>
      <c r="AK61" s="4" t="s">
        <v>180</v>
      </c>
    </row>
    <row r="62" spans="1:37" x14ac:dyDescent="0.2">
      <c r="A62" s="34">
        <v>2</v>
      </c>
      <c r="B62" s="12" t="s">
        <v>53</v>
      </c>
      <c r="C62" s="5">
        <v>1</v>
      </c>
      <c r="D62" s="4" t="s">
        <v>235</v>
      </c>
      <c r="E62" s="11" t="s">
        <v>173</v>
      </c>
      <c r="F62" s="28">
        <v>4.08</v>
      </c>
      <c r="G62" s="28">
        <v>2259</v>
      </c>
      <c r="J62" s="4" t="s">
        <v>235</v>
      </c>
      <c r="K62" s="4" t="s">
        <v>173</v>
      </c>
      <c r="L62" s="4">
        <v>11.34</v>
      </c>
      <c r="M62" s="4">
        <v>2787</v>
      </c>
      <c r="P62" s="4" t="s">
        <v>235</v>
      </c>
      <c r="Q62" s="4" t="s">
        <v>173</v>
      </c>
      <c r="R62" s="4">
        <v>6.71</v>
      </c>
      <c r="S62" s="4">
        <v>1842</v>
      </c>
      <c r="V62" s="4" t="s">
        <v>235</v>
      </c>
      <c r="W62" s="4" t="s">
        <v>173</v>
      </c>
      <c r="X62" s="4">
        <v>11.23</v>
      </c>
      <c r="Y62" s="4">
        <v>1620</v>
      </c>
      <c r="AB62" s="4" t="s">
        <v>235</v>
      </c>
      <c r="AC62" s="4" t="s">
        <v>173</v>
      </c>
      <c r="AD62" s="4">
        <v>9.9</v>
      </c>
      <c r="AE62" s="4">
        <v>2049</v>
      </c>
      <c r="AH62" s="4" t="s">
        <v>235</v>
      </c>
      <c r="AI62" s="4" t="s">
        <v>175</v>
      </c>
      <c r="AJ62" s="4">
        <v>19</v>
      </c>
      <c r="AK62" s="4" t="s">
        <v>180</v>
      </c>
    </row>
    <row r="63" spans="1:37" x14ac:dyDescent="0.2">
      <c r="A63" s="34">
        <v>3</v>
      </c>
      <c r="B63" s="12" t="s">
        <v>54</v>
      </c>
      <c r="C63" s="5">
        <v>1</v>
      </c>
      <c r="D63" s="4" t="s">
        <v>235</v>
      </c>
      <c r="E63" s="11" t="s">
        <v>173</v>
      </c>
      <c r="F63" s="28">
        <v>9.5299999999999994</v>
      </c>
      <c r="G63" s="28">
        <v>3258</v>
      </c>
      <c r="J63" s="4" t="s">
        <v>235</v>
      </c>
      <c r="K63" s="4" t="s">
        <v>173</v>
      </c>
      <c r="L63" s="4">
        <v>14.22</v>
      </c>
      <c r="M63" s="4">
        <v>3070</v>
      </c>
      <c r="P63" s="4" t="s">
        <v>235</v>
      </c>
      <c r="Q63" s="4" t="s">
        <v>173</v>
      </c>
      <c r="R63" s="4">
        <v>6.13</v>
      </c>
      <c r="S63" s="4">
        <v>1823</v>
      </c>
      <c r="V63" s="4" t="s">
        <v>235</v>
      </c>
      <c r="W63" s="4" t="s">
        <v>173</v>
      </c>
      <c r="X63" s="4">
        <v>7.4</v>
      </c>
      <c r="Y63" s="4">
        <v>1645</v>
      </c>
      <c r="AB63" s="4" t="s">
        <v>235</v>
      </c>
      <c r="AC63" s="4" t="s">
        <v>175</v>
      </c>
      <c r="AD63" s="4">
        <v>7.05</v>
      </c>
      <c r="AE63" s="4">
        <v>2091</v>
      </c>
      <c r="AH63" s="4" t="s">
        <v>235</v>
      </c>
      <c r="AI63" s="4" t="s">
        <v>175</v>
      </c>
      <c r="AJ63" s="4">
        <v>19.02</v>
      </c>
      <c r="AK63" s="4" t="s">
        <v>180</v>
      </c>
    </row>
    <row r="64" spans="1:37" x14ac:dyDescent="0.2">
      <c r="A64" s="34">
        <v>4</v>
      </c>
      <c r="B64" s="12" t="s">
        <v>55</v>
      </c>
      <c r="C64" s="5">
        <v>1</v>
      </c>
      <c r="D64" s="4" t="s">
        <v>235</v>
      </c>
      <c r="E64" s="11" t="s">
        <v>173</v>
      </c>
      <c r="F64" s="28">
        <v>6.91</v>
      </c>
      <c r="G64" s="28">
        <v>2720</v>
      </c>
      <c r="J64" s="4" t="s">
        <v>235</v>
      </c>
      <c r="K64" s="4" t="s">
        <v>173</v>
      </c>
      <c r="L64" s="4">
        <v>18.5</v>
      </c>
      <c r="M64" s="4">
        <v>3326</v>
      </c>
      <c r="P64" s="4" t="s">
        <v>235</v>
      </c>
      <c r="Q64" s="4" t="s">
        <v>173</v>
      </c>
      <c r="R64" s="4">
        <v>7.35</v>
      </c>
      <c r="S64" s="4">
        <v>1837</v>
      </c>
      <c r="V64" s="4" t="s">
        <v>235</v>
      </c>
      <c r="W64" s="4" t="s">
        <v>173</v>
      </c>
      <c r="X64" s="4">
        <v>6.37</v>
      </c>
      <c r="Y64" s="4">
        <v>1637</v>
      </c>
      <c r="AB64" s="4" t="s">
        <v>235</v>
      </c>
      <c r="AC64" s="4" t="s">
        <v>173</v>
      </c>
      <c r="AD64" s="4">
        <v>9.19</v>
      </c>
      <c r="AE64" s="4">
        <v>2314</v>
      </c>
      <c r="AH64" s="4" t="s">
        <v>235</v>
      </c>
      <c r="AI64" s="4" t="s">
        <v>175</v>
      </c>
      <c r="AJ64" s="4">
        <v>18.82</v>
      </c>
      <c r="AK64" s="4" t="s">
        <v>180</v>
      </c>
    </row>
    <row r="65" spans="1:37" x14ac:dyDescent="0.2">
      <c r="A65" s="34">
        <v>5</v>
      </c>
      <c r="B65" s="12" t="s">
        <v>56</v>
      </c>
      <c r="C65" s="5">
        <v>1</v>
      </c>
      <c r="D65" s="4" t="s">
        <v>235</v>
      </c>
      <c r="E65" s="11" t="s">
        <v>173</v>
      </c>
      <c r="F65" s="28">
        <v>5.82</v>
      </c>
      <c r="G65" s="28">
        <v>2601</v>
      </c>
      <c r="J65" s="4" t="s">
        <v>235</v>
      </c>
      <c r="K65" s="4" t="s">
        <v>173</v>
      </c>
      <c r="L65" s="4">
        <v>15.34</v>
      </c>
      <c r="M65" s="4">
        <v>3246</v>
      </c>
      <c r="P65" s="4" t="s">
        <v>235</v>
      </c>
      <c r="Q65" s="4" t="s">
        <v>173</v>
      </c>
      <c r="R65" s="4">
        <v>5.61</v>
      </c>
      <c r="S65" s="4">
        <v>1828</v>
      </c>
      <c r="V65" s="4" t="s">
        <v>235</v>
      </c>
      <c r="W65" s="4" t="s">
        <v>173</v>
      </c>
      <c r="X65" s="4">
        <v>6.83</v>
      </c>
      <c r="Y65" s="4">
        <v>1616</v>
      </c>
      <c r="AB65" s="4" t="s">
        <v>235</v>
      </c>
      <c r="AC65" s="4" t="s">
        <v>173</v>
      </c>
      <c r="AD65" s="4">
        <v>6.43</v>
      </c>
      <c r="AE65" s="4">
        <v>2083</v>
      </c>
      <c r="AH65" s="4" t="s">
        <v>235</v>
      </c>
      <c r="AI65" s="4" t="s">
        <v>175</v>
      </c>
      <c r="AJ65" s="4">
        <v>18.29</v>
      </c>
      <c r="AK65" s="4" t="s">
        <v>180</v>
      </c>
    </row>
    <row r="66" spans="1:37" x14ac:dyDescent="0.2">
      <c r="A66" s="34">
        <v>6</v>
      </c>
      <c r="B66" s="12" t="s">
        <v>57</v>
      </c>
      <c r="C66" s="5">
        <v>1</v>
      </c>
      <c r="D66" s="4" t="s">
        <v>235</v>
      </c>
      <c r="E66" s="11" t="s">
        <v>173</v>
      </c>
      <c r="F66" s="28">
        <v>5.39</v>
      </c>
      <c r="G66" s="28">
        <v>2465</v>
      </c>
      <c r="J66" s="4" t="s">
        <v>235</v>
      </c>
      <c r="K66" s="4" t="s">
        <v>173</v>
      </c>
      <c r="L66" s="4">
        <v>11.02</v>
      </c>
      <c r="M66" s="4">
        <v>2694</v>
      </c>
      <c r="P66" s="4" t="s">
        <v>235</v>
      </c>
      <c r="Q66" s="4" t="s">
        <v>173</v>
      </c>
      <c r="R66" s="4">
        <v>5.71</v>
      </c>
      <c r="S66" s="4">
        <v>1831</v>
      </c>
      <c r="V66" s="4" t="s">
        <v>235</v>
      </c>
      <c r="W66" s="4" t="s">
        <v>173</v>
      </c>
      <c r="X66" s="4">
        <v>6.23</v>
      </c>
      <c r="Y66" s="4">
        <v>1625</v>
      </c>
      <c r="AB66" s="4" t="s">
        <v>235</v>
      </c>
      <c r="AC66" s="4" t="s">
        <v>173</v>
      </c>
      <c r="AD66" s="4">
        <v>7.35</v>
      </c>
      <c r="AE66" s="4">
        <v>2100</v>
      </c>
      <c r="AH66" s="4" t="s">
        <v>235</v>
      </c>
      <c r="AI66" s="4" t="s">
        <v>175</v>
      </c>
      <c r="AJ66" s="4">
        <v>22.13</v>
      </c>
      <c r="AK66" s="4" t="s">
        <v>180</v>
      </c>
    </row>
    <row r="67" spans="1:37" x14ac:dyDescent="0.2">
      <c r="A67" s="34">
        <v>7</v>
      </c>
      <c r="B67" s="12" t="s">
        <v>58</v>
      </c>
      <c r="C67" s="5">
        <v>1</v>
      </c>
      <c r="D67" s="4" t="s">
        <v>235</v>
      </c>
      <c r="E67" s="11" t="s">
        <v>173</v>
      </c>
      <c r="F67" s="28">
        <v>7.56</v>
      </c>
      <c r="G67" s="28">
        <v>2927</v>
      </c>
      <c r="J67" s="4" t="s">
        <v>235</v>
      </c>
      <c r="K67" s="4" t="s">
        <v>173</v>
      </c>
      <c r="L67" s="4">
        <v>15.7</v>
      </c>
      <c r="M67" s="4">
        <v>3242</v>
      </c>
      <c r="P67" s="4" t="s">
        <v>235</v>
      </c>
      <c r="Q67" s="4" t="s">
        <v>175</v>
      </c>
      <c r="R67" s="4">
        <v>6.4</v>
      </c>
      <c r="S67" s="4">
        <v>1852</v>
      </c>
      <c r="V67" s="4" t="s">
        <v>235</v>
      </c>
      <c r="W67" s="4" t="s">
        <v>173</v>
      </c>
      <c r="X67" s="4">
        <v>9.91</v>
      </c>
      <c r="Y67" s="4">
        <v>1609</v>
      </c>
      <c r="AB67" s="4" t="s">
        <v>235</v>
      </c>
      <c r="AC67" s="4" t="s">
        <v>173</v>
      </c>
      <c r="AD67" s="4">
        <v>5.82</v>
      </c>
      <c r="AE67" s="4">
        <v>2041</v>
      </c>
      <c r="AH67" s="4" t="s">
        <v>235</v>
      </c>
      <c r="AI67" s="4" t="s">
        <v>175</v>
      </c>
      <c r="AJ67" s="4">
        <v>16.71</v>
      </c>
      <c r="AK67" s="4" t="s">
        <v>180</v>
      </c>
    </row>
    <row r="68" spans="1:37" x14ac:dyDescent="0.2">
      <c r="A68" s="34">
        <v>8</v>
      </c>
      <c r="B68" s="12" t="s">
        <v>59</v>
      </c>
      <c r="C68" s="5">
        <v>1</v>
      </c>
      <c r="D68" s="4" t="s">
        <v>235</v>
      </c>
      <c r="E68" s="11" t="s">
        <v>173</v>
      </c>
      <c r="F68" s="28">
        <v>7.45</v>
      </c>
      <c r="G68" s="28">
        <v>2765</v>
      </c>
      <c r="J68" s="4" t="s">
        <v>235</v>
      </c>
      <c r="K68" s="4" t="s">
        <v>173</v>
      </c>
      <c r="L68" s="4">
        <v>14.79</v>
      </c>
      <c r="M68" s="4">
        <v>3136</v>
      </c>
      <c r="P68" s="4" t="s">
        <v>235</v>
      </c>
      <c r="Q68" s="4" t="s">
        <v>173</v>
      </c>
      <c r="R68" s="4">
        <v>6.2</v>
      </c>
      <c r="S68" s="4">
        <v>1833</v>
      </c>
      <c r="V68" s="4" t="s">
        <v>235</v>
      </c>
      <c r="W68" s="4" t="s">
        <v>173</v>
      </c>
      <c r="X68" s="4">
        <v>6.54</v>
      </c>
      <c r="Y68" s="4">
        <v>1625</v>
      </c>
      <c r="AB68" s="4" t="s">
        <v>235</v>
      </c>
      <c r="AC68" s="4" t="s">
        <v>173</v>
      </c>
      <c r="AD68" s="4">
        <v>5.77</v>
      </c>
      <c r="AE68" s="4">
        <v>2035</v>
      </c>
      <c r="AH68" s="4" t="s">
        <v>235</v>
      </c>
      <c r="AI68" s="4" t="s">
        <v>175</v>
      </c>
      <c r="AJ68" s="4">
        <v>25.11</v>
      </c>
      <c r="AK68" s="4" t="s">
        <v>180</v>
      </c>
    </row>
    <row r="69" spans="1:37" x14ac:dyDescent="0.2">
      <c r="A69" s="34">
        <v>9</v>
      </c>
      <c r="B69" s="12" t="s">
        <v>60</v>
      </c>
      <c r="C69" s="5">
        <v>1</v>
      </c>
      <c r="D69" s="4" t="s">
        <v>235</v>
      </c>
      <c r="E69" s="11" t="s">
        <v>173</v>
      </c>
      <c r="F69" s="28">
        <v>9.4</v>
      </c>
      <c r="G69" s="28">
        <v>3202</v>
      </c>
      <c r="J69" s="4" t="s">
        <v>235</v>
      </c>
      <c r="K69" s="4" t="s">
        <v>173</v>
      </c>
      <c r="L69" s="4">
        <v>13.81</v>
      </c>
      <c r="M69" s="4">
        <v>3072</v>
      </c>
      <c r="P69" s="4" t="s">
        <v>235</v>
      </c>
      <c r="Q69" s="4" t="s">
        <v>173</v>
      </c>
      <c r="R69" s="4">
        <v>6.44</v>
      </c>
      <c r="S69" s="4">
        <v>1841</v>
      </c>
      <c r="V69" s="4" t="s">
        <v>235</v>
      </c>
      <c r="W69" s="4" t="s">
        <v>173</v>
      </c>
      <c r="X69" s="4">
        <v>6.94</v>
      </c>
      <c r="Y69" s="4">
        <v>1635</v>
      </c>
      <c r="AB69" s="4" t="s">
        <v>235</v>
      </c>
      <c r="AC69" s="4" t="s">
        <v>173</v>
      </c>
      <c r="AD69" s="4">
        <v>6.58</v>
      </c>
      <c r="AE69" s="4">
        <v>2060</v>
      </c>
      <c r="AH69" s="4" t="s">
        <v>235</v>
      </c>
      <c r="AI69" s="4" t="s">
        <v>175</v>
      </c>
      <c r="AJ69" s="4">
        <v>22.18</v>
      </c>
      <c r="AK69" s="4" t="s">
        <v>180</v>
      </c>
    </row>
    <row r="70" spans="1:37" x14ac:dyDescent="0.2">
      <c r="A70" s="34">
        <v>10</v>
      </c>
      <c r="B70" s="12" t="s">
        <v>61</v>
      </c>
      <c r="C70" s="5">
        <v>1</v>
      </c>
      <c r="D70" s="4" t="s">
        <v>235</v>
      </c>
      <c r="E70" s="11" t="s">
        <v>173</v>
      </c>
      <c r="F70" s="28">
        <v>3.96</v>
      </c>
      <c r="G70" s="28">
        <v>2246</v>
      </c>
      <c r="J70" s="4" t="s">
        <v>235</v>
      </c>
      <c r="K70" s="4" t="s">
        <v>173</v>
      </c>
      <c r="L70" s="4">
        <v>12.98</v>
      </c>
      <c r="M70" s="4">
        <v>2938</v>
      </c>
      <c r="P70" s="4" t="s">
        <v>235</v>
      </c>
      <c r="Q70" s="4" t="s">
        <v>173</v>
      </c>
      <c r="R70" s="4">
        <v>6.16</v>
      </c>
      <c r="S70" s="4">
        <v>1845</v>
      </c>
      <c r="V70" s="4" t="s">
        <v>235</v>
      </c>
      <c r="W70" s="4" t="s">
        <v>173</v>
      </c>
      <c r="X70" s="4">
        <v>6.23</v>
      </c>
      <c r="Y70" s="4">
        <v>1613</v>
      </c>
      <c r="AB70" s="4" t="s">
        <v>235</v>
      </c>
      <c r="AC70" s="4" t="s">
        <v>173</v>
      </c>
      <c r="AD70" s="4">
        <v>6.53</v>
      </c>
      <c r="AE70" s="4">
        <v>2033</v>
      </c>
      <c r="AH70" s="4" t="s">
        <v>235</v>
      </c>
      <c r="AI70" s="4" t="s">
        <v>175</v>
      </c>
      <c r="AJ70" s="4">
        <v>17.48</v>
      </c>
      <c r="AK70" s="4" t="s">
        <v>180</v>
      </c>
    </row>
    <row r="71" spans="1:37" x14ac:dyDescent="0.2">
      <c r="A71" s="34">
        <v>11</v>
      </c>
      <c r="B71" s="12" t="s">
        <v>62</v>
      </c>
      <c r="C71" s="5">
        <v>1</v>
      </c>
      <c r="D71" s="4" t="s">
        <v>235</v>
      </c>
      <c r="E71" s="11" t="s">
        <v>173</v>
      </c>
      <c r="F71" s="28">
        <v>4.6900000000000004</v>
      </c>
      <c r="G71" s="28">
        <v>2282</v>
      </c>
      <c r="J71" s="4" t="s">
        <v>235</v>
      </c>
      <c r="K71" s="4" t="s">
        <v>173</v>
      </c>
      <c r="L71" s="4">
        <v>13.27</v>
      </c>
      <c r="M71" s="4">
        <v>2947</v>
      </c>
      <c r="P71" s="4" t="s">
        <v>235</v>
      </c>
      <c r="Q71" s="4" t="s">
        <v>173</v>
      </c>
      <c r="R71" s="4">
        <v>6.74</v>
      </c>
      <c r="S71" s="4">
        <v>1878</v>
      </c>
      <c r="V71" s="4" t="s">
        <v>235</v>
      </c>
      <c r="W71" s="4" t="s">
        <v>173</v>
      </c>
      <c r="X71" s="4">
        <v>8.17</v>
      </c>
      <c r="Y71" s="4">
        <v>1670</v>
      </c>
      <c r="AB71" s="4" t="s">
        <v>235</v>
      </c>
      <c r="AC71" s="4" t="s">
        <v>173</v>
      </c>
      <c r="AD71" s="4">
        <v>6.64</v>
      </c>
      <c r="AE71" s="4">
        <v>2092</v>
      </c>
      <c r="AH71" s="4" t="s">
        <v>235</v>
      </c>
      <c r="AI71" s="4" t="s">
        <v>175</v>
      </c>
      <c r="AJ71" s="4">
        <v>21.72</v>
      </c>
      <c r="AK71" s="4" t="s">
        <v>180</v>
      </c>
    </row>
    <row r="72" spans="1:37" x14ac:dyDescent="0.2">
      <c r="A72" s="34">
        <v>12</v>
      </c>
      <c r="B72" s="12" t="s">
        <v>63</v>
      </c>
      <c r="C72" s="5">
        <v>1</v>
      </c>
      <c r="D72" s="4" t="s">
        <v>235</v>
      </c>
      <c r="E72" s="11" t="s">
        <v>173</v>
      </c>
      <c r="F72" s="28">
        <v>7.38</v>
      </c>
      <c r="G72" s="28">
        <v>2878</v>
      </c>
      <c r="J72" s="4" t="s">
        <v>235</v>
      </c>
      <c r="K72" s="4" t="s">
        <v>173</v>
      </c>
      <c r="L72" s="4">
        <v>36.25</v>
      </c>
      <c r="M72" s="4">
        <v>5507</v>
      </c>
      <c r="P72" s="4" t="s">
        <v>235</v>
      </c>
      <c r="Q72" s="4" t="s">
        <v>173</v>
      </c>
      <c r="R72" s="4">
        <v>10.42</v>
      </c>
      <c r="S72" s="4">
        <v>1942</v>
      </c>
      <c r="V72" s="4" t="s">
        <v>235</v>
      </c>
      <c r="W72" s="4" t="s">
        <v>173</v>
      </c>
      <c r="X72" s="4">
        <v>12.15</v>
      </c>
      <c r="Y72" s="4">
        <v>1780</v>
      </c>
      <c r="AB72" s="4" t="s">
        <v>235</v>
      </c>
      <c r="AC72" s="4" t="s">
        <v>173</v>
      </c>
      <c r="AD72" s="4">
        <v>7.76</v>
      </c>
      <c r="AE72" s="4">
        <v>2212</v>
      </c>
      <c r="AH72" s="4" t="s">
        <v>235</v>
      </c>
      <c r="AI72" s="4" t="s">
        <v>175</v>
      </c>
      <c r="AJ72" s="4">
        <v>16.04</v>
      </c>
      <c r="AK72" s="4" t="s">
        <v>180</v>
      </c>
    </row>
    <row r="73" spans="1:37" x14ac:dyDescent="0.2">
      <c r="A73" s="34">
        <v>13</v>
      </c>
      <c r="B73" s="12" t="s">
        <v>64</v>
      </c>
      <c r="C73" s="5">
        <v>2</v>
      </c>
      <c r="D73" s="4" t="s">
        <v>235</v>
      </c>
      <c r="E73" s="11" t="s">
        <v>173</v>
      </c>
      <c r="F73" s="28">
        <v>4.25</v>
      </c>
      <c r="G73" s="28">
        <v>2244</v>
      </c>
      <c r="J73" s="4" t="s">
        <v>235</v>
      </c>
      <c r="K73" s="4" t="s">
        <v>173</v>
      </c>
      <c r="L73" s="4">
        <v>14.51</v>
      </c>
      <c r="M73" s="4">
        <v>3127</v>
      </c>
      <c r="P73" s="4" t="s">
        <v>235</v>
      </c>
      <c r="Q73" s="4" t="s">
        <v>175</v>
      </c>
      <c r="R73" s="4">
        <v>7.35</v>
      </c>
      <c r="S73" s="4">
        <v>1862</v>
      </c>
      <c r="V73" s="4" t="s">
        <v>235</v>
      </c>
      <c r="W73" s="4" t="s">
        <v>173</v>
      </c>
      <c r="X73" s="4">
        <v>9.23</v>
      </c>
      <c r="Y73" s="4">
        <v>1631</v>
      </c>
      <c r="AB73" s="4" t="s">
        <v>235</v>
      </c>
      <c r="AC73" s="4" t="s">
        <v>173</v>
      </c>
      <c r="AD73" s="4">
        <v>5.81</v>
      </c>
      <c r="AE73" s="4">
        <v>2032</v>
      </c>
      <c r="AH73" s="4" t="s">
        <v>235</v>
      </c>
      <c r="AI73" s="4" t="s">
        <v>175</v>
      </c>
      <c r="AJ73" s="4">
        <v>16.71</v>
      </c>
      <c r="AK73" s="4" t="s">
        <v>180</v>
      </c>
    </row>
    <row r="74" spans="1:37" x14ac:dyDescent="0.2">
      <c r="A74" s="34">
        <v>14</v>
      </c>
      <c r="B74" s="12" t="s">
        <v>65</v>
      </c>
      <c r="C74" s="5">
        <v>2</v>
      </c>
      <c r="D74" s="4" t="s">
        <v>235</v>
      </c>
      <c r="E74" s="11" t="s">
        <v>173</v>
      </c>
      <c r="F74" s="28">
        <v>3.63</v>
      </c>
      <c r="G74" s="28">
        <v>2127</v>
      </c>
      <c r="J74" s="4" t="s">
        <v>235</v>
      </c>
      <c r="K74" s="4" t="s">
        <v>173</v>
      </c>
      <c r="L74" s="4">
        <v>10.16</v>
      </c>
      <c r="M74" s="4">
        <v>2598</v>
      </c>
      <c r="P74" s="4" t="s">
        <v>235</v>
      </c>
      <c r="Q74" s="4" t="s">
        <v>173</v>
      </c>
      <c r="R74" s="4">
        <v>6.74</v>
      </c>
      <c r="S74" s="4">
        <v>1836</v>
      </c>
      <c r="V74" s="4" t="s">
        <v>235</v>
      </c>
      <c r="W74" s="4" t="s">
        <v>173</v>
      </c>
      <c r="X74" s="4">
        <v>8.34</v>
      </c>
      <c r="Y74" s="4">
        <v>1645</v>
      </c>
      <c r="AB74" s="4" t="s">
        <v>235</v>
      </c>
      <c r="AC74" s="4" t="s">
        <v>173</v>
      </c>
      <c r="AD74" s="4">
        <v>8.58</v>
      </c>
      <c r="AE74" s="4">
        <v>2045</v>
      </c>
      <c r="AH74" s="4" t="s">
        <v>235</v>
      </c>
      <c r="AI74" s="4" t="s">
        <v>175</v>
      </c>
      <c r="AJ74" s="4">
        <v>17.3</v>
      </c>
      <c r="AK74" s="4" t="s">
        <v>180</v>
      </c>
    </row>
    <row r="75" spans="1:37" x14ac:dyDescent="0.2">
      <c r="A75" s="34">
        <v>15</v>
      </c>
      <c r="B75" s="12" t="s">
        <v>66</v>
      </c>
      <c r="C75" s="5">
        <v>2</v>
      </c>
      <c r="D75" s="4" t="s">
        <v>235</v>
      </c>
      <c r="E75" s="11" t="s">
        <v>173</v>
      </c>
      <c r="F75" s="28">
        <v>5.65</v>
      </c>
      <c r="G75" s="28">
        <v>2567</v>
      </c>
      <c r="J75" s="4" t="s">
        <v>235</v>
      </c>
      <c r="K75" s="4" t="s">
        <v>173</v>
      </c>
      <c r="L75" s="4">
        <v>19.8</v>
      </c>
      <c r="M75" s="4">
        <v>3700</v>
      </c>
      <c r="P75" s="4" t="s">
        <v>235</v>
      </c>
      <c r="Q75" s="4" t="s">
        <v>173</v>
      </c>
      <c r="R75" s="4">
        <v>6.83</v>
      </c>
      <c r="S75" s="4">
        <v>1840</v>
      </c>
      <c r="V75" s="4" t="s">
        <v>235</v>
      </c>
      <c r="W75" s="4" t="s">
        <v>173</v>
      </c>
      <c r="X75" s="4">
        <v>5.91</v>
      </c>
      <c r="Y75" s="4">
        <v>1622</v>
      </c>
      <c r="AB75" s="4" t="s">
        <v>235</v>
      </c>
      <c r="AC75" s="4" t="s">
        <v>173</v>
      </c>
      <c r="AD75" s="4">
        <v>4.68</v>
      </c>
      <c r="AE75" s="4">
        <v>2052</v>
      </c>
      <c r="AH75" s="4" t="s">
        <v>235</v>
      </c>
      <c r="AI75" s="4" t="s">
        <v>175</v>
      </c>
      <c r="AJ75" s="4">
        <v>15.67</v>
      </c>
      <c r="AK75" s="4" t="s">
        <v>180</v>
      </c>
    </row>
    <row r="76" spans="1:37" x14ac:dyDescent="0.2">
      <c r="A76" s="34">
        <v>16</v>
      </c>
      <c r="B76" s="12" t="s">
        <v>67</v>
      </c>
      <c r="C76" s="5">
        <v>2</v>
      </c>
      <c r="D76" s="4" t="s">
        <v>235</v>
      </c>
      <c r="E76" s="11" t="s">
        <v>173</v>
      </c>
      <c r="F76" s="28">
        <v>4.3099999999999996</v>
      </c>
      <c r="G76" s="28">
        <v>2243</v>
      </c>
      <c r="J76" s="4" t="s">
        <v>235</v>
      </c>
      <c r="K76" s="4" t="s">
        <v>173</v>
      </c>
      <c r="L76" s="4">
        <v>18</v>
      </c>
      <c r="M76" s="4">
        <v>3547</v>
      </c>
      <c r="P76" s="4" t="s">
        <v>235</v>
      </c>
      <c r="Q76" s="4" t="s">
        <v>175</v>
      </c>
      <c r="R76" s="4">
        <v>5.82</v>
      </c>
      <c r="S76" s="4">
        <v>1846</v>
      </c>
      <c r="V76" s="4" t="s">
        <v>235</v>
      </c>
      <c r="W76" s="4" t="s">
        <v>173</v>
      </c>
      <c r="X76" s="4">
        <v>11.03</v>
      </c>
      <c r="Y76" s="4">
        <v>1622</v>
      </c>
      <c r="AB76" s="4" t="s">
        <v>235</v>
      </c>
      <c r="AC76" s="4" t="s">
        <v>173</v>
      </c>
      <c r="AD76" s="4">
        <v>10</v>
      </c>
      <c r="AE76" s="4">
        <v>2334</v>
      </c>
      <c r="AH76" s="4" t="s">
        <v>235</v>
      </c>
      <c r="AI76" s="4" t="s">
        <v>175</v>
      </c>
      <c r="AJ76" s="4">
        <v>15.8</v>
      </c>
      <c r="AK76" s="4" t="s">
        <v>180</v>
      </c>
    </row>
    <row r="77" spans="1:37" x14ac:dyDescent="0.2">
      <c r="A77" s="34">
        <v>17</v>
      </c>
      <c r="B77" s="12" t="s">
        <v>68</v>
      </c>
      <c r="C77" s="5">
        <v>2</v>
      </c>
      <c r="D77" s="4" t="s">
        <v>235</v>
      </c>
      <c r="E77" s="11" t="s">
        <v>173</v>
      </c>
      <c r="F77" s="28">
        <v>4.2300000000000004</v>
      </c>
      <c r="G77" s="28">
        <v>2274</v>
      </c>
      <c r="J77" s="4" t="s">
        <v>235</v>
      </c>
      <c r="K77" s="4" t="s">
        <v>173</v>
      </c>
      <c r="L77" s="4">
        <v>12.37</v>
      </c>
      <c r="M77" s="4">
        <v>2844</v>
      </c>
      <c r="P77" s="4" t="s">
        <v>235</v>
      </c>
      <c r="Q77" s="4" t="s">
        <v>175</v>
      </c>
      <c r="R77" s="4">
        <v>6.83</v>
      </c>
      <c r="S77" s="4">
        <v>1867</v>
      </c>
      <c r="V77" s="4" t="s">
        <v>235</v>
      </c>
      <c r="W77" s="4" t="s">
        <v>173</v>
      </c>
      <c r="X77" s="4">
        <v>7.56</v>
      </c>
      <c r="Y77" s="4">
        <v>1616</v>
      </c>
      <c r="AB77" s="4" t="s">
        <v>235</v>
      </c>
      <c r="AC77" s="4" t="s">
        <v>175</v>
      </c>
      <c r="AD77" s="4">
        <v>5.5</v>
      </c>
      <c r="AE77" s="4">
        <v>2064</v>
      </c>
      <c r="AH77" s="4" t="s">
        <v>235</v>
      </c>
      <c r="AI77" s="4" t="s">
        <v>175</v>
      </c>
      <c r="AJ77" s="4">
        <v>15.78</v>
      </c>
      <c r="AK77" s="4" t="s">
        <v>180</v>
      </c>
    </row>
    <row r="78" spans="1:37" x14ac:dyDescent="0.2">
      <c r="A78" s="34">
        <v>18</v>
      </c>
      <c r="B78" s="12" t="s">
        <v>69</v>
      </c>
      <c r="C78" s="5">
        <v>2</v>
      </c>
      <c r="D78" s="4" t="s">
        <v>235</v>
      </c>
      <c r="E78" s="11" t="s">
        <v>173</v>
      </c>
      <c r="F78" s="28">
        <v>4.0999999999999996</v>
      </c>
      <c r="G78" s="28">
        <v>2262</v>
      </c>
      <c r="J78" s="4" t="s">
        <v>235</v>
      </c>
      <c r="K78" s="4" t="s">
        <v>173</v>
      </c>
      <c r="L78" s="4">
        <v>12.68</v>
      </c>
      <c r="M78" s="4">
        <v>2908</v>
      </c>
      <c r="P78" s="4" t="s">
        <v>235</v>
      </c>
      <c r="Q78" s="4" t="s">
        <v>175</v>
      </c>
      <c r="R78" s="4">
        <v>6.53</v>
      </c>
      <c r="S78" s="4">
        <v>1864</v>
      </c>
      <c r="V78" s="4" t="s">
        <v>235</v>
      </c>
      <c r="W78" s="4" t="s">
        <v>173</v>
      </c>
      <c r="X78" s="4">
        <v>7.25</v>
      </c>
      <c r="Y78" s="4">
        <v>1625</v>
      </c>
      <c r="AB78" s="4" t="s">
        <v>235</v>
      </c>
      <c r="AC78" s="4" t="s">
        <v>173</v>
      </c>
      <c r="AD78" s="4">
        <v>5</v>
      </c>
      <c r="AE78" s="4">
        <v>2055</v>
      </c>
      <c r="AH78" s="4" t="s">
        <v>235</v>
      </c>
      <c r="AI78" s="4" t="s">
        <v>175</v>
      </c>
      <c r="AJ78" s="4">
        <v>18.489999999999998</v>
      </c>
      <c r="AK78" s="4" t="s">
        <v>180</v>
      </c>
    </row>
    <row r="79" spans="1:37" x14ac:dyDescent="0.2">
      <c r="A79" s="34">
        <v>19</v>
      </c>
      <c r="B79" s="12" t="s">
        <v>70</v>
      </c>
      <c r="C79" s="5">
        <v>2</v>
      </c>
      <c r="D79" s="4" t="s">
        <v>235</v>
      </c>
      <c r="E79" s="11" t="s">
        <v>173</v>
      </c>
      <c r="F79" s="28">
        <v>4.88</v>
      </c>
      <c r="G79" s="28">
        <v>2408</v>
      </c>
      <c r="J79" s="4" t="s">
        <v>235</v>
      </c>
      <c r="K79" s="4" t="s">
        <v>173</v>
      </c>
      <c r="L79" s="4">
        <v>13.39</v>
      </c>
      <c r="M79" s="4">
        <v>2993</v>
      </c>
      <c r="P79" s="4" t="s">
        <v>235</v>
      </c>
      <c r="Q79" s="4" t="s">
        <v>173</v>
      </c>
      <c r="R79" s="4">
        <v>5.6</v>
      </c>
      <c r="S79" s="4">
        <v>1818</v>
      </c>
      <c r="V79" s="4" t="s">
        <v>235</v>
      </c>
      <c r="W79" s="4" t="s">
        <v>173</v>
      </c>
      <c r="X79" s="4">
        <v>7.38</v>
      </c>
      <c r="Y79" s="4">
        <v>1610</v>
      </c>
      <c r="AB79" s="4" t="s">
        <v>235</v>
      </c>
      <c r="AC79" s="4" t="s">
        <v>173</v>
      </c>
      <c r="AD79" s="4">
        <v>6.43</v>
      </c>
      <c r="AE79" s="4">
        <v>2040</v>
      </c>
      <c r="AH79" s="4" t="s">
        <v>235</v>
      </c>
      <c r="AI79" s="4" t="s">
        <v>175</v>
      </c>
      <c r="AJ79" s="4">
        <v>15.61</v>
      </c>
      <c r="AK79" s="4" t="s">
        <v>180</v>
      </c>
    </row>
    <row r="80" spans="1:37" x14ac:dyDescent="0.2">
      <c r="A80" s="34">
        <v>20</v>
      </c>
      <c r="B80" s="12" t="s">
        <v>71</v>
      </c>
      <c r="C80" s="5">
        <v>2</v>
      </c>
      <c r="D80" s="4" t="s">
        <v>235</v>
      </c>
      <c r="E80" s="11" t="s">
        <v>173</v>
      </c>
      <c r="F80" s="28">
        <v>6.62</v>
      </c>
      <c r="G80" s="28">
        <v>2719</v>
      </c>
      <c r="J80" s="4" t="s">
        <v>235</v>
      </c>
      <c r="K80" s="4" t="s">
        <v>173</v>
      </c>
      <c r="L80" s="4">
        <v>14.32</v>
      </c>
      <c r="M80" s="4">
        <v>3076</v>
      </c>
      <c r="P80" s="4" t="s">
        <v>235</v>
      </c>
      <c r="Q80" s="4" t="s">
        <v>175</v>
      </c>
      <c r="R80" s="4">
        <v>7.34</v>
      </c>
      <c r="S80" s="4">
        <v>1866</v>
      </c>
      <c r="V80" s="4" t="s">
        <v>235</v>
      </c>
      <c r="W80" s="4" t="s">
        <v>173</v>
      </c>
      <c r="X80" s="4">
        <v>7.12</v>
      </c>
      <c r="Y80" s="4">
        <v>1620</v>
      </c>
      <c r="AB80" s="4" t="s">
        <v>235</v>
      </c>
      <c r="AC80" s="4" t="s">
        <v>175</v>
      </c>
      <c r="AD80" s="4">
        <v>8.07</v>
      </c>
      <c r="AE80" s="4">
        <v>2098</v>
      </c>
      <c r="AH80" s="4" t="s">
        <v>235</v>
      </c>
      <c r="AI80" s="4" t="s">
        <v>175</v>
      </c>
      <c r="AJ80" s="4">
        <v>20.07</v>
      </c>
      <c r="AK80" s="4" t="s">
        <v>180</v>
      </c>
    </row>
    <row r="81" spans="1:37" x14ac:dyDescent="0.2">
      <c r="A81" s="34">
        <v>21</v>
      </c>
      <c r="B81" s="12" t="s">
        <v>72</v>
      </c>
      <c r="C81" s="5">
        <v>2</v>
      </c>
      <c r="D81" s="4" t="s">
        <v>235</v>
      </c>
      <c r="E81" s="11" t="s">
        <v>173</v>
      </c>
      <c r="F81" s="28">
        <v>5.23</v>
      </c>
      <c r="G81" s="28">
        <v>2438</v>
      </c>
      <c r="J81" s="4" t="s">
        <v>235</v>
      </c>
      <c r="K81" s="4" t="s">
        <v>173</v>
      </c>
      <c r="L81" s="4">
        <v>11.14</v>
      </c>
      <c r="M81" s="4">
        <v>2756</v>
      </c>
      <c r="P81" s="4" t="s">
        <v>235</v>
      </c>
      <c r="Q81" s="4" t="s">
        <v>175</v>
      </c>
      <c r="R81" s="4">
        <v>7.24</v>
      </c>
      <c r="S81" s="4">
        <v>1863</v>
      </c>
      <c r="V81" s="4" t="s">
        <v>235</v>
      </c>
      <c r="W81" s="4" t="s">
        <v>173</v>
      </c>
      <c r="X81" s="4">
        <v>6.94</v>
      </c>
      <c r="Y81" s="4">
        <v>1638</v>
      </c>
      <c r="AB81" s="4" t="s">
        <v>235</v>
      </c>
      <c r="AC81" s="4" t="s">
        <v>173</v>
      </c>
      <c r="AD81" s="4">
        <v>5.61</v>
      </c>
      <c r="AE81" s="4">
        <v>2060</v>
      </c>
      <c r="AH81" s="4" t="s">
        <v>235</v>
      </c>
      <c r="AI81" s="4" t="s">
        <v>175</v>
      </c>
      <c r="AJ81" s="4">
        <v>15.25</v>
      </c>
      <c r="AK81" s="4" t="s">
        <v>180</v>
      </c>
    </row>
    <row r="82" spans="1:37" x14ac:dyDescent="0.2">
      <c r="A82" s="34">
        <v>22</v>
      </c>
      <c r="B82" s="12" t="s">
        <v>73</v>
      </c>
      <c r="C82" s="5">
        <v>2</v>
      </c>
      <c r="D82" s="4" t="s">
        <v>235</v>
      </c>
      <c r="E82" s="11" t="s">
        <v>173</v>
      </c>
      <c r="F82" s="28">
        <v>3.58</v>
      </c>
      <c r="G82" s="28">
        <v>2135</v>
      </c>
      <c r="J82" s="4" t="s">
        <v>235</v>
      </c>
      <c r="K82" s="4" t="s">
        <v>173</v>
      </c>
      <c r="L82" s="4">
        <v>12.55</v>
      </c>
      <c r="M82" s="4">
        <v>2927</v>
      </c>
      <c r="P82" s="4" t="s">
        <v>235</v>
      </c>
      <c r="Q82" s="4" t="s">
        <v>175</v>
      </c>
      <c r="R82" s="4">
        <v>7.15</v>
      </c>
      <c r="S82" s="4">
        <v>1864</v>
      </c>
      <c r="V82" s="4" t="s">
        <v>235</v>
      </c>
      <c r="W82" s="4" t="s">
        <v>173</v>
      </c>
      <c r="X82" s="4">
        <v>15.14</v>
      </c>
      <c r="Y82" s="4">
        <v>1620</v>
      </c>
      <c r="AB82" s="4" t="s">
        <v>235</v>
      </c>
      <c r="AC82" s="4" t="s">
        <v>173</v>
      </c>
      <c r="AD82" s="4">
        <v>8.3800000000000008</v>
      </c>
      <c r="AE82" s="4">
        <v>2238</v>
      </c>
      <c r="AH82" s="4" t="s">
        <v>235</v>
      </c>
      <c r="AI82" s="4" t="s">
        <v>175</v>
      </c>
      <c r="AJ82" s="4">
        <v>15.42</v>
      </c>
      <c r="AK82" s="4" t="s">
        <v>180</v>
      </c>
    </row>
    <row r="83" spans="1:37" x14ac:dyDescent="0.2">
      <c r="A83" s="34">
        <v>23</v>
      </c>
      <c r="B83" s="12" t="s">
        <v>74</v>
      </c>
      <c r="C83" s="5">
        <v>2</v>
      </c>
      <c r="D83" s="4" t="s">
        <v>235</v>
      </c>
      <c r="E83" s="11" t="s">
        <v>173</v>
      </c>
      <c r="F83" s="28">
        <v>4.93</v>
      </c>
      <c r="G83" s="28">
        <v>2423</v>
      </c>
      <c r="J83" s="4" t="s">
        <v>235</v>
      </c>
      <c r="K83" s="4" t="s">
        <v>173</v>
      </c>
      <c r="L83" s="4">
        <v>11.6</v>
      </c>
      <c r="M83" s="4">
        <v>2828</v>
      </c>
      <c r="P83" s="4" t="s">
        <v>235</v>
      </c>
      <c r="Q83" s="4" t="s">
        <v>173</v>
      </c>
      <c r="R83" s="4">
        <v>7.25</v>
      </c>
      <c r="S83" s="4">
        <v>1881</v>
      </c>
      <c r="V83" s="4" t="s">
        <v>235</v>
      </c>
      <c r="W83" s="4" t="s">
        <v>173</v>
      </c>
      <c r="X83" s="4">
        <v>16.350000000000001</v>
      </c>
      <c r="Y83" s="4">
        <v>1709</v>
      </c>
      <c r="AB83" s="4" t="s">
        <v>235</v>
      </c>
      <c r="AC83" s="4" t="s">
        <v>173</v>
      </c>
      <c r="AD83" s="4">
        <v>6.94</v>
      </c>
      <c r="AE83" s="4">
        <v>2116</v>
      </c>
      <c r="AH83" s="4" t="s">
        <v>235</v>
      </c>
      <c r="AI83" s="4" t="s">
        <v>175</v>
      </c>
      <c r="AJ83" s="4">
        <v>20.64</v>
      </c>
      <c r="AK83" s="4" t="s">
        <v>180</v>
      </c>
    </row>
    <row r="84" spans="1:37" x14ac:dyDescent="0.2">
      <c r="A84" s="34">
        <v>24</v>
      </c>
      <c r="B84" s="12" t="s">
        <v>75</v>
      </c>
      <c r="C84" s="5">
        <v>2</v>
      </c>
      <c r="D84" s="4" t="s">
        <v>235</v>
      </c>
      <c r="E84" s="11" t="s">
        <v>173</v>
      </c>
      <c r="F84" s="28">
        <v>9.85</v>
      </c>
      <c r="G84" s="28">
        <v>3342</v>
      </c>
      <c r="J84" s="4" t="s">
        <v>235</v>
      </c>
      <c r="K84" s="4" t="s">
        <v>173</v>
      </c>
      <c r="L84" s="4">
        <v>28.62</v>
      </c>
      <c r="M84" s="4">
        <v>4719</v>
      </c>
      <c r="P84" s="4" t="s">
        <v>235</v>
      </c>
      <c r="Q84" s="4" t="s">
        <v>173</v>
      </c>
      <c r="R84" s="4">
        <v>9.08</v>
      </c>
      <c r="S84" s="4">
        <v>1937</v>
      </c>
      <c r="V84" s="4" t="s">
        <v>235</v>
      </c>
      <c r="W84" s="4" t="s">
        <v>173</v>
      </c>
      <c r="X84" s="4">
        <v>10.94</v>
      </c>
      <c r="Y84" s="4">
        <v>1788</v>
      </c>
      <c r="AB84" s="4" t="s">
        <v>235</v>
      </c>
      <c r="AC84" s="4" t="s">
        <v>175</v>
      </c>
      <c r="AD84" s="4">
        <v>7.45</v>
      </c>
      <c r="AE84" s="4">
        <v>2198</v>
      </c>
      <c r="AH84" s="4" t="s">
        <v>235</v>
      </c>
      <c r="AI84" s="4" t="s">
        <v>175</v>
      </c>
      <c r="AJ84" s="4">
        <v>16.57</v>
      </c>
      <c r="AK84" s="4" t="s">
        <v>180</v>
      </c>
    </row>
    <row r="85" spans="1:37" x14ac:dyDescent="0.2">
      <c r="A85" s="34">
        <v>25</v>
      </c>
      <c r="B85" s="12" t="s">
        <v>76</v>
      </c>
      <c r="C85" s="5">
        <v>3</v>
      </c>
      <c r="D85" s="4" t="s">
        <v>235</v>
      </c>
      <c r="E85" s="11" t="s">
        <v>173</v>
      </c>
      <c r="F85" s="28">
        <v>6.43</v>
      </c>
      <c r="G85" s="28">
        <v>2650</v>
      </c>
      <c r="J85" s="4" t="s">
        <v>235</v>
      </c>
      <c r="K85" s="4" t="s">
        <v>173</v>
      </c>
      <c r="L85" s="4">
        <v>12.01</v>
      </c>
      <c r="M85" s="4">
        <v>2831</v>
      </c>
      <c r="P85" s="4" t="s">
        <v>235</v>
      </c>
      <c r="Q85" s="4" t="s">
        <v>175</v>
      </c>
      <c r="R85" s="4">
        <v>7.76</v>
      </c>
      <c r="S85" s="4">
        <v>1876</v>
      </c>
      <c r="V85" s="4" t="s">
        <v>235</v>
      </c>
      <c r="W85" s="4" t="s">
        <v>173</v>
      </c>
      <c r="X85" s="4">
        <v>14.11</v>
      </c>
      <c r="Y85" s="4">
        <v>1623</v>
      </c>
      <c r="AB85" s="4" t="s">
        <v>235</v>
      </c>
      <c r="AC85" s="4" t="s">
        <v>173</v>
      </c>
      <c r="AD85" s="4">
        <v>5.61</v>
      </c>
      <c r="AE85" s="4">
        <v>2031</v>
      </c>
      <c r="AH85" s="4" t="s">
        <v>235</v>
      </c>
      <c r="AI85" s="4" t="s">
        <v>175</v>
      </c>
      <c r="AJ85" s="4">
        <v>15.77</v>
      </c>
      <c r="AK85" s="4" t="s">
        <v>180</v>
      </c>
    </row>
    <row r="86" spans="1:37" x14ac:dyDescent="0.2">
      <c r="A86" s="34">
        <v>26</v>
      </c>
      <c r="B86" s="12" t="s">
        <v>77</v>
      </c>
      <c r="C86" s="5">
        <v>3</v>
      </c>
      <c r="D86" s="4" t="s">
        <v>235</v>
      </c>
      <c r="E86" s="11" t="s">
        <v>173</v>
      </c>
      <c r="F86" s="28">
        <v>5.61</v>
      </c>
      <c r="G86" s="28">
        <v>2223</v>
      </c>
      <c r="J86" s="4" t="s">
        <v>235</v>
      </c>
      <c r="K86" s="4" t="s">
        <v>173</v>
      </c>
      <c r="L86" s="4">
        <v>13.37</v>
      </c>
      <c r="M86" s="4">
        <v>2979</v>
      </c>
      <c r="P86" s="4" t="s">
        <v>235</v>
      </c>
      <c r="Q86" s="4" t="s">
        <v>173</v>
      </c>
      <c r="R86" s="4">
        <v>5.4</v>
      </c>
      <c r="S86" s="4">
        <v>1818</v>
      </c>
      <c r="V86" s="4" t="s">
        <v>235</v>
      </c>
      <c r="W86" s="4" t="s">
        <v>175</v>
      </c>
      <c r="X86" s="4">
        <v>11.75</v>
      </c>
      <c r="Y86" s="4">
        <v>1669</v>
      </c>
      <c r="AB86" s="4" t="s">
        <v>235</v>
      </c>
      <c r="AC86" s="4" t="s">
        <v>173</v>
      </c>
      <c r="AD86" s="4">
        <v>5</v>
      </c>
      <c r="AE86" s="4">
        <v>2029</v>
      </c>
      <c r="AH86" s="4" t="s">
        <v>235</v>
      </c>
      <c r="AI86" s="4" t="s">
        <v>175</v>
      </c>
      <c r="AJ86" s="4">
        <v>15.02</v>
      </c>
      <c r="AK86" s="4" t="s">
        <v>180</v>
      </c>
    </row>
    <row r="87" spans="1:37" x14ac:dyDescent="0.2">
      <c r="A87" s="34">
        <v>27</v>
      </c>
      <c r="B87" s="12" t="s">
        <v>237</v>
      </c>
      <c r="C87" s="5">
        <v>3</v>
      </c>
      <c r="D87" s="4" t="s">
        <v>235</v>
      </c>
      <c r="E87" s="11" t="s">
        <v>173</v>
      </c>
      <c r="F87" s="28">
        <v>5</v>
      </c>
      <c r="G87" s="28">
        <v>2342</v>
      </c>
      <c r="J87" s="4" t="s">
        <v>235</v>
      </c>
      <c r="K87" s="4" t="s">
        <v>173</v>
      </c>
      <c r="L87" s="4">
        <v>13.79</v>
      </c>
      <c r="M87" s="4">
        <v>2993</v>
      </c>
      <c r="P87" s="4" t="s">
        <v>235</v>
      </c>
      <c r="Q87" s="4" t="s">
        <v>175</v>
      </c>
      <c r="R87" s="4">
        <v>6.02</v>
      </c>
      <c r="S87" s="4">
        <v>1855</v>
      </c>
      <c r="V87" s="4" t="s">
        <v>235</v>
      </c>
      <c r="W87" s="4" t="s">
        <v>175</v>
      </c>
      <c r="X87" s="4">
        <v>12.58</v>
      </c>
      <c r="Y87" s="4">
        <v>1633</v>
      </c>
      <c r="AB87" s="4" t="s">
        <v>235</v>
      </c>
      <c r="AC87" s="4" t="s">
        <v>175</v>
      </c>
      <c r="AD87" s="4">
        <v>6.14</v>
      </c>
      <c r="AE87" s="4">
        <v>2088</v>
      </c>
      <c r="AH87" s="4" t="s">
        <v>235</v>
      </c>
      <c r="AI87" s="4" t="s">
        <v>173</v>
      </c>
      <c r="AJ87" s="4">
        <v>13.68</v>
      </c>
      <c r="AK87" s="4" t="s">
        <v>180</v>
      </c>
    </row>
    <row r="88" spans="1:37" x14ac:dyDescent="0.2">
      <c r="A88" s="34">
        <v>28</v>
      </c>
      <c r="B88" s="12" t="s">
        <v>79</v>
      </c>
      <c r="C88" s="5">
        <v>3</v>
      </c>
      <c r="D88" s="4" t="s">
        <v>235</v>
      </c>
      <c r="E88" s="11" t="s">
        <v>173</v>
      </c>
      <c r="F88" s="28">
        <v>5.89</v>
      </c>
      <c r="G88" s="28">
        <v>2554</v>
      </c>
      <c r="J88" s="4" t="s">
        <v>235</v>
      </c>
      <c r="K88" s="4" t="s">
        <v>173</v>
      </c>
      <c r="L88" s="4">
        <v>11.01</v>
      </c>
      <c r="M88" s="4">
        <v>2709</v>
      </c>
      <c r="P88" s="4" t="s">
        <v>235</v>
      </c>
      <c r="Q88" s="4" t="s">
        <v>175</v>
      </c>
      <c r="R88" s="4">
        <v>6.54</v>
      </c>
      <c r="S88" s="4">
        <v>1850</v>
      </c>
      <c r="V88" s="4" t="s">
        <v>235</v>
      </c>
      <c r="W88" s="4" t="s">
        <v>175</v>
      </c>
      <c r="X88" s="4">
        <v>7.55</v>
      </c>
      <c r="Y88" s="4">
        <v>1638</v>
      </c>
      <c r="AB88" s="4" t="s">
        <v>235</v>
      </c>
      <c r="AC88" s="4" t="s">
        <v>175</v>
      </c>
      <c r="AD88" s="4">
        <v>6.75</v>
      </c>
      <c r="AE88" s="4">
        <v>2065</v>
      </c>
      <c r="AH88" s="4" t="s">
        <v>235</v>
      </c>
      <c r="AI88" s="4" t="s">
        <v>175</v>
      </c>
      <c r="AJ88" s="4">
        <v>14.8</v>
      </c>
      <c r="AK88" s="4" t="s">
        <v>180</v>
      </c>
    </row>
    <row r="89" spans="1:37" x14ac:dyDescent="0.2">
      <c r="A89" s="34">
        <v>29</v>
      </c>
      <c r="B89" s="12" t="s">
        <v>80</v>
      </c>
      <c r="C89" s="5">
        <v>3</v>
      </c>
      <c r="D89" s="4" t="s">
        <v>235</v>
      </c>
      <c r="E89" s="11" t="s">
        <v>173</v>
      </c>
      <c r="F89" s="28">
        <v>4.82</v>
      </c>
      <c r="G89" s="28">
        <v>2400</v>
      </c>
      <c r="J89" s="4" t="s">
        <v>235</v>
      </c>
      <c r="K89" s="4" t="s">
        <v>173</v>
      </c>
      <c r="L89" s="4">
        <v>13.38</v>
      </c>
      <c r="M89" s="4">
        <v>2939</v>
      </c>
      <c r="P89" s="4" t="s">
        <v>235</v>
      </c>
      <c r="Q89" s="4" t="s">
        <v>175</v>
      </c>
      <c r="R89" s="4">
        <v>5.7</v>
      </c>
      <c r="S89" s="4">
        <v>1842</v>
      </c>
      <c r="V89" s="4" t="s">
        <v>235</v>
      </c>
      <c r="W89" s="4" t="s">
        <v>175</v>
      </c>
      <c r="X89" s="4">
        <v>7.25</v>
      </c>
      <c r="Y89" s="4">
        <v>1641</v>
      </c>
      <c r="AB89" s="4" t="s">
        <v>235</v>
      </c>
      <c r="AC89" s="4" t="s">
        <v>175</v>
      </c>
      <c r="AD89" s="4">
        <v>6.41</v>
      </c>
      <c r="AE89" s="4">
        <v>2109</v>
      </c>
      <c r="AH89" s="4" t="s">
        <v>235</v>
      </c>
      <c r="AI89" s="4" t="s">
        <v>175</v>
      </c>
      <c r="AJ89" s="4">
        <v>15.02</v>
      </c>
      <c r="AK89" s="4" t="s">
        <v>180</v>
      </c>
    </row>
    <row r="90" spans="1:37" x14ac:dyDescent="0.2">
      <c r="A90" s="34">
        <v>30</v>
      </c>
      <c r="B90" s="12" t="s">
        <v>81</v>
      </c>
      <c r="C90" s="5">
        <v>3</v>
      </c>
      <c r="D90" s="4" t="s">
        <v>235</v>
      </c>
      <c r="E90" s="11" t="s">
        <v>173</v>
      </c>
      <c r="F90" s="28">
        <v>5</v>
      </c>
      <c r="G90" s="28">
        <v>2314</v>
      </c>
      <c r="J90" s="4" t="s">
        <v>235</v>
      </c>
      <c r="K90" s="4" t="s">
        <v>173</v>
      </c>
      <c r="L90" s="4">
        <v>13.69</v>
      </c>
      <c r="M90" s="4">
        <v>3061</v>
      </c>
      <c r="P90" s="4" t="s">
        <v>235</v>
      </c>
      <c r="Q90" s="4" t="s">
        <v>175</v>
      </c>
      <c r="R90" s="4">
        <v>6.01</v>
      </c>
      <c r="S90" s="4">
        <v>1844</v>
      </c>
      <c r="V90" s="4" t="s">
        <v>235</v>
      </c>
      <c r="W90" s="4" t="s">
        <v>173</v>
      </c>
      <c r="X90" s="4">
        <v>11.04</v>
      </c>
      <c r="Y90" s="4">
        <v>1627</v>
      </c>
      <c r="AB90" s="4" t="s">
        <v>235</v>
      </c>
      <c r="AC90" s="4" t="s">
        <v>173</v>
      </c>
      <c r="AD90" s="4">
        <v>7.15</v>
      </c>
      <c r="AE90" s="4">
        <v>2111</v>
      </c>
      <c r="AH90" s="4" t="s">
        <v>235</v>
      </c>
      <c r="AI90" s="4" t="s">
        <v>175</v>
      </c>
      <c r="AJ90" s="4">
        <v>14.49</v>
      </c>
      <c r="AK90" s="4" t="s">
        <v>180</v>
      </c>
    </row>
    <row r="91" spans="1:37" x14ac:dyDescent="0.2">
      <c r="A91" s="34">
        <v>31</v>
      </c>
      <c r="B91" s="12" t="s">
        <v>82</v>
      </c>
      <c r="C91" s="5">
        <v>3</v>
      </c>
      <c r="D91" s="4" t="s">
        <v>235</v>
      </c>
      <c r="E91" s="11" t="s">
        <v>173</v>
      </c>
      <c r="F91" s="28">
        <v>3.53</v>
      </c>
      <c r="G91" s="28">
        <v>2113</v>
      </c>
      <c r="J91" s="4" t="s">
        <v>235</v>
      </c>
      <c r="K91" s="4" t="s">
        <v>173</v>
      </c>
      <c r="L91" s="4">
        <v>12.04</v>
      </c>
      <c r="M91" s="4">
        <v>2820</v>
      </c>
      <c r="P91" s="4" t="s">
        <v>235</v>
      </c>
      <c r="Q91" s="4" t="s">
        <v>175</v>
      </c>
      <c r="R91" s="4">
        <v>7.27</v>
      </c>
      <c r="S91" s="4">
        <v>1852</v>
      </c>
      <c r="V91" s="4" t="s">
        <v>235</v>
      </c>
      <c r="W91" s="4" t="s">
        <v>175</v>
      </c>
      <c r="X91" s="4">
        <v>11.04</v>
      </c>
      <c r="Y91" s="4">
        <v>1667</v>
      </c>
      <c r="AB91" s="4" t="s">
        <v>235</v>
      </c>
      <c r="AC91" s="4" t="s">
        <v>175</v>
      </c>
      <c r="AD91" s="4">
        <v>7.66</v>
      </c>
      <c r="AE91" s="4">
        <v>2126</v>
      </c>
      <c r="AH91" s="4" t="s">
        <v>235</v>
      </c>
      <c r="AI91" s="4" t="s">
        <v>175</v>
      </c>
      <c r="AJ91" s="4">
        <v>15.99</v>
      </c>
      <c r="AK91" s="4" t="s">
        <v>180</v>
      </c>
    </row>
    <row r="92" spans="1:37" x14ac:dyDescent="0.2">
      <c r="A92" s="34">
        <v>32</v>
      </c>
      <c r="B92" s="12" t="s">
        <v>83</v>
      </c>
      <c r="C92" s="5" t="s">
        <v>238</v>
      </c>
      <c r="D92" s="4" t="s">
        <v>235</v>
      </c>
      <c r="E92" s="11" t="s">
        <v>173</v>
      </c>
      <c r="F92" s="28">
        <v>10.24</v>
      </c>
      <c r="G92" s="28">
        <v>2833</v>
      </c>
      <c r="J92" s="4" t="s">
        <v>235</v>
      </c>
      <c r="K92" s="4" t="s">
        <v>173</v>
      </c>
      <c r="L92" s="4">
        <v>20.81</v>
      </c>
      <c r="M92" s="4">
        <v>3563</v>
      </c>
      <c r="P92" s="4" t="s">
        <v>235</v>
      </c>
      <c r="Q92" s="4" t="s">
        <v>175</v>
      </c>
      <c r="R92" s="4">
        <v>5.5</v>
      </c>
      <c r="S92" s="4">
        <v>1856</v>
      </c>
      <c r="V92" s="4" t="s">
        <v>235</v>
      </c>
      <c r="W92" s="4" t="s">
        <v>175</v>
      </c>
      <c r="X92" s="4">
        <v>8.27</v>
      </c>
      <c r="Y92" s="4">
        <v>1676</v>
      </c>
      <c r="AB92" s="4" t="s">
        <v>235</v>
      </c>
      <c r="AC92" s="4" t="s">
        <v>175</v>
      </c>
      <c r="AD92" s="4">
        <v>6.4</v>
      </c>
      <c r="AE92" s="4">
        <v>2114</v>
      </c>
      <c r="AH92" s="4" t="s">
        <v>235</v>
      </c>
      <c r="AK92" s="4" t="s">
        <v>180</v>
      </c>
    </row>
    <row r="93" spans="1:37" x14ac:dyDescent="0.2">
      <c r="A93" s="34">
        <v>33</v>
      </c>
      <c r="B93" s="12" t="s">
        <v>84</v>
      </c>
      <c r="C93" s="5" t="s">
        <v>238</v>
      </c>
      <c r="D93" s="4" t="s">
        <v>235</v>
      </c>
      <c r="E93" s="11" t="s">
        <v>173</v>
      </c>
      <c r="F93" s="28">
        <v>4.6900000000000004</v>
      </c>
      <c r="G93" s="28">
        <v>2219</v>
      </c>
      <c r="J93" s="4" t="s">
        <v>235</v>
      </c>
      <c r="K93" s="4" t="s">
        <v>173</v>
      </c>
      <c r="L93" s="4">
        <v>21.9</v>
      </c>
      <c r="M93" s="4">
        <v>3788</v>
      </c>
      <c r="P93" s="4" t="s">
        <v>235</v>
      </c>
      <c r="Q93" s="4" t="s">
        <v>175</v>
      </c>
      <c r="R93" s="4">
        <v>5.79</v>
      </c>
      <c r="S93" s="4">
        <v>1879</v>
      </c>
      <c r="V93" s="4" t="s">
        <v>235</v>
      </c>
      <c r="W93" s="4" t="s">
        <v>175</v>
      </c>
      <c r="X93" s="4">
        <v>16.170000000000002</v>
      </c>
      <c r="Y93" s="4">
        <v>1665</v>
      </c>
      <c r="AB93" s="4" t="s">
        <v>235</v>
      </c>
      <c r="AC93" s="4" t="s">
        <v>173</v>
      </c>
      <c r="AD93" s="4">
        <v>5.3</v>
      </c>
      <c r="AE93" s="4">
        <v>2073</v>
      </c>
      <c r="AH93" s="4" t="s">
        <v>235</v>
      </c>
      <c r="AK93" s="4" t="s">
        <v>180</v>
      </c>
    </row>
    <row r="94" spans="1:37" x14ac:dyDescent="0.2">
      <c r="A94" s="34">
        <v>34</v>
      </c>
      <c r="B94" s="12" t="s">
        <v>85</v>
      </c>
      <c r="C94" s="5" t="s">
        <v>238</v>
      </c>
      <c r="D94" s="4" t="s">
        <v>235</v>
      </c>
      <c r="E94" s="11" t="s">
        <v>173</v>
      </c>
      <c r="F94" s="28">
        <v>4.6900000000000004</v>
      </c>
      <c r="G94" s="28">
        <v>2365</v>
      </c>
      <c r="J94" s="4" t="s">
        <v>235</v>
      </c>
      <c r="K94" s="4" t="s">
        <v>173</v>
      </c>
      <c r="L94" s="4">
        <v>18.52</v>
      </c>
      <c r="M94" s="4">
        <v>3482</v>
      </c>
      <c r="P94" s="4" t="s">
        <v>235</v>
      </c>
      <c r="Q94" s="4" t="s">
        <v>173</v>
      </c>
      <c r="R94" s="4">
        <v>6.1</v>
      </c>
      <c r="S94" s="4">
        <v>1861</v>
      </c>
      <c r="V94" s="4" t="s">
        <v>235</v>
      </c>
      <c r="W94" s="4" t="s">
        <v>173</v>
      </c>
      <c r="X94" s="4">
        <v>15.48</v>
      </c>
      <c r="Y94" s="4">
        <v>1720</v>
      </c>
      <c r="AB94" s="4" t="s">
        <v>235</v>
      </c>
      <c r="AC94" s="4" t="s">
        <v>173</v>
      </c>
      <c r="AD94" s="4">
        <v>6.18</v>
      </c>
      <c r="AE94" s="4">
        <v>2102</v>
      </c>
      <c r="AH94" s="4" t="s">
        <v>235</v>
      </c>
      <c r="AK94" s="4" t="s">
        <v>180</v>
      </c>
    </row>
    <row r="95" spans="1:37" x14ac:dyDescent="0.2">
      <c r="A95" s="34">
        <v>35</v>
      </c>
      <c r="B95" s="12" t="s">
        <v>86</v>
      </c>
      <c r="C95" s="5" t="s">
        <v>238</v>
      </c>
      <c r="D95" s="4" t="s">
        <v>235</v>
      </c>
      <c r="E95" s="11" t="s">
        <v>173</v>
      </c>
      <c r="F95" s="28">
        <v>6.85</v>
      </c>
      <c r="G95" s="28">
        <v>2658</v>
      </c>
      <c r="J95" s="4" t="s">
        <v>235</v>
      </c>
      <c r="K95" s="4" t="s">
        <v>173</v>
      </c>
      <c r="L95" s="4">
        <v>16.88</v>
      </c>
      <c r="M95" s="4">
        <v>3188</v>
      </c>
      <c r="P95" s="4" t="s">
        <v>235</v>
      </c>
      <c r="Q95" s="4" t="s">
        <v>173</v>
      </c>
      <c r="R95" s="4">
        <v>4.92</v>
      </c>
      <c r="S95" s="4">
        <v>1836</v>
      </c>
      <c r="V95" s="4" t="s">
        <v>235</v>
      </c>
      <c r="W95" s="4" t="s">
        <v>173</v>
      </c>
      <c r="X95" s="4">
        <v>12.07</v>
      </c>
      <c r="Y95" s="4">
        <v>1646</v>
      </c>
      <c r="AB95" s="4" t="s">
        <v>235</v>
      </c>
      <c r="AC95" s="4" t="s">
        <v>173</v>
      </c>
      <c r="AD95" s="4">
        <v>6.78</v>
      </c>
      <c r="AE95" s="4">
        <v>2059</v>
      </c>
      <c r="AH95" s="4" t="s">
        <v>235</v>
      </c>
      <c r="AK95" s="4" t="s">
        <v>180</v>
      </c>
    </row>
    <row r="96" spans="1:37" x14ac:dyDescent="0.2">
      <c r="A96" s="34">
        <v>36</v>
      </c>
      <c r="B96" s="12" t="s">
        <v>77</v>
      </c>
      <c r="C96" s="5" t="s">
        <v>238</v>
      </c>
      <c r="D96" s="4" t="s">
        <v>235</v>
      </c>
      <c r="E96" s="11" t="s">
        <v>173</v>
      </c>
      <c r="F96" s="28">
        <v>9.91</v>
      </c>
      <c r="G96" s="28">
        <v>2966</v>
      </c>
      <c r="J96" s="4" t="s">
        <v>235</v>
      </c>
      <c r="K96" s="4" t="s">
        <v>173</v>
      </c>
      <c r="L96" s="4">
        <v>15.44</v>
      </c>
      <c r="M96" s="4">
        <v>3035</v>
      </c>
      <c r="P96" s="4" t="s">
        <v>235</v>
      </c>
      <c r="Q96" s="4" t="s">
        <v>173</v>
      </c>
      <c r="R96" s="4">
        <v>5.09</v>
      </c>
      <c r="S96" s="4">
        <v>1841</v>
      </c>
      <c r="V96" s="4" t="s">
        <v>235</v>
      </c>
      <c r="W96" s="4" t="s">
        <v>173</v>
      </c>
      <c r="X96" s="4">
        <v>6.12</v>
      </c>
      <c r="Y96" s="4">
        <v>1609</v>
      </c>
      <c r="AB96" s="4" t="s">
        <v>235</v>
      </c>
      <c r="AC96" s="4" t="s">
        <v>175</v>
      </c>
      <c r="AD96" s="4">
        <v>5.51</v>
      </c>
      <c r="AE96" s="4">
        <v>2069</v>
      </c>
      <c r="AH96" s="4" t="s">
        <v>235</v>
      </c>
      <c r="AK96" s="4" t="s">
        <v>180</v>
      </c>
    </row>
    <row r="97" spans="1:37" x14ac:dyDescent="0.2">
      <c r="A97" s="34">
        <v>37</v>
      </c>
      <c r="B97" s="12" t="s">
        <v>87</v>
      </c>
      <c r="C97" s="5" t="s">
        <v>238</v>
      </c>
      <c r="D97" s="4" t="s">
        <v>235</v>
      </c>
      <c r="E97" s="11" t="s">
        <v>173</v>
      </c>
      <c r="F97" s="28">
        <v>4.49</v>
      </c>
      <c r="G97" s="28">
        <v>2307</v>
      </c>
      <c r="J97" s="4" t="s">
        <v>235</v>
      </c>
      <c r="K97" s="4" t="s">
        <v>173</v>
      </c>
      <c r="L97" s="4">
        <v>13.81</v>
      </c>
      <c r="M97" s="4">
        <v>2845</v>
      </c>
      <c r="P97" s="4" t="s">
        <v>235</v>
      </c>
      <c r="Q97" s="4" t="s">
        <v>173</v>
      </c>
      <c r="R97" s="4">
        <v>6.33</v>
      </c>
      <c r="S97" s="4">
        <v>1886</v>
      </c>
      <c r="V97" s="4" t="s">
        <v>235</v>
      </c>
      <c r="W97" s="4" t="s">
        <v>173</v>
      </c>
      <c r="X97" s="4">
        <v>8.3800000000000008</v>
      </c>
      <c r="Y97" s="4">
        <v>1686</v>
      </c>
      <c r="AB97" s="4" t="s">
        <v>235</v>
      </c>
      <c r="AC97" s="4" t="s">
        <v>175</v>
      </c>
      <c r="AD97" s="4">
        <v>11.04</v>
      </c>
      <c r="AE97" s="4">
        <v>2123</v>
      </c>
      <c r="AH97" s="4" t="s">
        <v>235</v>
      </c>
      <c r="AK97" s="4" t="s">
        <v>180</v>
      </c>
    </row>
    <row r="98" spans="1:37" x14ac:dyDescent="0.2">
      <c r="A98" s="34">
        <v>38</v>
      </c>
      <c r="B98" s="12" t="s">
        <v>88</v>
      </c>
      <c r="C98" s="5" t="s">
        <v>238</v>
      </c>
      <c r="D98" s="4" t="s">
        <v>235</v>
      </c>
      <c r="E98" s="11" t="s">
        <v>173</v>
      </c>
      <c r="F98" s="28">
        <v>4.43</v>
      </c>
      <c r="G98" s="28">
        <v>2250</v>
      </c>
      <c r="J98" s="4" t="s">
        <v>235</v>
      </c>
      <c r="K98" s="4" t="s">
        <v>173</v>
      </c>
      <c r="L98" s="4">
        <v>16.88</v>
      </c>
      <c r="M98" s="4">
        <v>3238</v>
      </c>
      <c r="P98" s="4" t="s">
        <v>235</v>
      </c>
      <c r="Q98" s="4" t="s">
        <v>175</v>
      </c>
      <c r="R98" s="4">
        <v>7.05</v>
      </c>
      <c r="S98" s="4">
        <v>1866</v>
      </c>
      <c r="V98" s="4" t="s">
        <v>235</v>
      </c>
      <c r="W98" s="4" t="s">
        <v>173</v>
      </c>
      <c r="X98" s="4">
        <v>6.94</v>
      </c>
      <c r="Y98" s="4">
        <v>1640</v>
      </c>
      <c r="AB98" s="4" t="s">
        <v>235</v>
      </c>
      <c r="AC98" s="4" t="s">
        <v>175</v>
      </c>
      <c r="AD98" s="4">
        <v>6.02</v>
      </c>
      <c r="AE98" s="4">
        <v>2090</v>
      </c>
      <c r="AH98" s="4" t="s">
        <v>235</v>
      </c>
      <c r="AK98" s="4" t="s">
        <v>180</v>
      </c>
    </row>
    <row r="99" spans="1:37" x14ac:dyDescent="0.2">
      <c r="A99" s="34">
        <v>39</v>
      </c>
      <c r="B99" s="12" t="s">
        <v>89</v>
      </c>
      <c r="C99" s="5" t="s">
        <v>238</v>
      </c>
      <c r="D99" s="4" t="s">
        <v>235</v>
      </c>
      <c r="E99" s="11" t="s">
        <v>173</v>
      </c>
      <c r="F99" s="28">
        <v>4.34</v>
      </c>
      <c r="G99" s="28">
        <v>2247</v>
      </c>
      <c r="J99" s="4" t="s">
        <v>235</v>
      </c>
      <c r="K99" s="4" t="s">
        <v>173</v>
      </c>
      <c r="L99" s="4">
        <v>15.96</v>
      </c>
      <c r="M99" s="4">
        <v>3122</v>
      </c>
      <c r="P99" s="4" t="s">
        <v>235</v>
      </c>
      <c r="Q99" s="4" t="s">
        <v>173</v>
      </c>
      <c r="R99" s="4">
        <v>5.41</v>
      </c>
      <c r="S99" s="4">
        <v>1839</v>
      </c>
      <c r="V99" s="4" t="s">
        <v>235</v>
      </c>
      <c r="W99" s="4" t="s">
        <v>173</v>
      </c>
      <c r="X99" s="4">
        <v>6.54</v>
      </c>
      <c r="Y99" s="4">
        <v>1630</v>
      </c>
      <c r="AB99" s="4" t="s">
        <v>235</v>
      </c>
      <c r="AC99" s="4" t="s">
        <v>173</v>
      </c>
      <c r="AD99" s="4">
        <v>5.82</v>
      </c>
      <c r="AE99" s="4">
        <v>2050</v>
      </c>
      <c r="AH99" s="4" t="s">
        <v>235</v>
      </c>
      <c r="AK99" s="4" t="s">
        <v>180</v>
      </c>
    </row>
    <row r="100" spans="1:37" x14ac:dyDescent="0.2">
      <c r="A100" s="34">
        <v>40</v>
      </c>
      <c r="B100" s="12" t="s">
        <v>87</v>
      </c>
      <c r="C100" s="5" t="s">
        <v>238</v>
      </c>
      <c r="D100" s="4" t="s">
        <v>235</v>
      </c>
      <c r="E100" s="11" t="s">
        <v>173</v>
      </c>
      <c r="F100" s="28">
        <v>4.6900000000000004</v>
      </c>
      <c r="G100" s="28">
        <v>2336</v>
      </c>
      <c r="J100" s="4" t="s">
        <v>235</v>
      </c>
      <c r="K100" s="4" t="s">
        <v>173</v>
      </c>
      <c r="L100" s="4">
        <v>17.190000000000001</v>
      </c>
      <c r="M100" s="4">
        <v>3221</v>
      </c>
      <c r="P100" s="4" t="s">
        <v>235</v>
      </c>
      <c r="Q100" s="4" t="s">
        <v>173</v>
      </c>
      <c r="R100" s="4">
        <v>5.61</v>
      </c>
      <c r="S100" s="4">
        <v>1865</v>
      </c>
      <c r="V100" s="4" t="s">
        <v>235</v>
      </c>
      <c r="W100" s="4" t="s">
        <v>173</v>
      </c>
      <c r="X100" s="4">
        <v>12.78</v>
      </c>
      <c r="Y100" s="4">
        <v>1674</v>
      </c>
      <c r="AB100" s="4" t="s">
        <v>235</v>
      </c>
      <c r="AC100" s="4" t="s">
        <v>173</v>
      </c>
      <c r="AD100" s="4">
        <v>6.95</v>
      </c>
      <c r="AE100" s="4">
        <v>2086</v>
      </c>
      <c r="AH100" s="4" t="s">
        <v>235</v>
      </c>
      <c r="AK100" s="4" t="s">
        <v>180</v>
      </c>
    </row>
    <row r="101" spans="1:37" x14ac:dyDescent="0.2">
      <c r="A101" s="34">
        <v>41</v>
      </c>
      <c r="B101" s="12" t="s">
        <v>77</v>
      </c>
      <c r="C101" s="5" t="s">
        <v>238</v>
      </c>
      <c r="D101" s="4" t="s">
        <v>235</v>
      </c>
      <c r="E101" s="11" t="s">
        <v>173</v>
      </c>
      <c r="F101" s="28">
        <v>4.79</v>
      </c>
      <c r="G101" s="28">
        <v>2185</v>
      </c>
      <c r="J101" s="4" t="s">
        <v>235</v>
      </c>
      <c r="K101" s="4" t="s">
        <v>173</v>
      </c>
      <c r="L101" s="4">
        <v>16.46</v>
      </c>
      <c r="M101" s="4">
        <v>3095</v>
      </c>
      <c r="P101" s="4" t="s">
        <v>235</v>
      </c>
      <c r="Q101" s="4" t="s">
        <v>173</v>
      </c>
      <c r="R101" s="4">
        <v>4.8899999999999997</v>
      </c>
      <c r="S101" s="4">
        <v>1828</v>
      </c>
      <c r="V101" s="4" t="s">
        <v>235</v>
      </c>
      <c r="W101" s="4" t="s">
        <v>173</v>
      </c>
      <c r="X101" s="4">
        <v>6.22</v>
      </c>
      <c r="Y101" s="4">
        <v>1614</v>
      </c>
      <c r="AB101" s="4" t="s">
        <v>235</v>
      </c>
      <c r="AC101" s="4" t="s">
        <v>173</v>
      </c>
      <c r="AD101" s="4">
        <v>6.94</v>
      </c>
      <c r="AE101" s="4">
        <v>2032</v>
      </c>
      <c r="AH101" s="4" t="s">
        <v>235</v>
      </c>
      <c r="AK101" s="4" t="s">
        <v>180</v>
      </c>
    </row>
    <row r="102" spans="1:37" x14ac:dyDescent="0.2">
      <c r="A102" s="34">
        <v>42</v>
      </c>
      <c r="B102" s="12" t="s">
        <v>90</v>
      </c>
      <c r="C102" s="5" t="s">
        <v>238</v>
      </c>
      <c r="D102" s="4" t="s">
        <v>235</v>
      </c>
      <c r="E102" s="11" t="s">
        <v>173</v>
      </c>
      <c r="F102" s="28">
        <v>8.2799999999999994</v>
      </c>
      <c r="G102" s="28">
        <v>2917</v>
      </c>
      <c r="J102" s="4" t="s">
        <v>235</v>
      </c>
      <c r="K102" s="4" t="s">
        <v>173</v>
      </c>
      <c r="L102" s="4">
        <v>14.52</v>
      </c>
      <c r="M102" s="4">
        <v>2941</v>
      </c>
      <c r="P102" s="4" t="s">
        <v>235</v>
      </c>
      <c r="Q102" s="4" t="s">
        <v>175</v>
      </c>
      <c r="R102" s="4">
        <v>7.02</v>
      </c>
      <c r="S102" s="4">
        <v>1870</v>
      </c>
      <c r="V102" s="4" t="s">
        <v>235</v>
      </c>
      <c r="W102" s="4" t="s">
        <v>173</v>
      </c>
      <c r="X102" s="4">
        <v>7.14</v>
      </c>
      <c r="Y102" s="4">
        <v>1620</v>
      </c>
      <c r="AB102" s="4" t="s">
        <v>235</v>
      </c>
      <c r="AC102" s="4" t="s">
        <v>173</v>
      </c>
      <c r="AD102" s="4">
        <v>10.52</v>
      </c>
      <c r="AE102" s="4">
        <v>2375</v>
      </c>
      <c r="AH102" s="4" t="s">
        <v>235</v>
      </c>
      <c r="AK102" s="4" t="s">
        <v>180</v>
      </c>
    </row>
    <row r="103" spans="1:37" x14ac:dyDescent="0.2">
      <c r="A103" s="34">
        <v>43</v>
      </c>
      <c r="B103" s="12" t="s">
        <v>91</v>
      </c>
      <c r="C103" s="5" t="s">
        <v>238</v>
      </c>
      <c r="D103" s="4" t="s">
        <v>235</v>
      </c>
      <c r="E103" s="11" t="s">
        <v>173</v>
      </c>
      <c r="F103" s="28">
        <v>5.3</v>
      </c>
      <c r="G103" s="28">
        <v>2404</v>
      </c>
      <c r="J103" s="4" t="s">
        <v>235</v>
      </c>
      <c r="K103" s="4" t="s">
        <v>173</v>
      </c>
      <c r="L103" s="4">
        <v>18.309999999999999</v>
      </c>
      <c r="M103" s="4">
        <v>3454</v>
      </c>
      <c r="P103" s="4" t="s">
        <v>235</v>
      </c>
      <c r="Q103" s="4" t="s">
        <v>173</v>
      </c>
      <c r="R103" s="4">
        <v>7.08</v>
      </c>
      <c r="S103" s="4">
        <v>1904</v>
      </c>
      <c r="V103" s="4" t="s">
        <v>235</v>
      </c>
      <c r="W103" s="4" t="s">
        <v>173</v>
      </c>
      <c r="X103" s="4">
        <v>9.2899999999999991</v>
      </c>
      <c r="Y103" s="4">
        <v>1695</v>
      </c>
      <c r="AB103" s="4" t="s">
        <v>235</v>
      </c>
      <c r="AC103" s="4" t="s">
        <v>173</v>
      </c>
      <c r="AD103" s="4">
        <v>6.02</v>
      </c>
      <c r="AE103" s="4">
        <v>2101</v>
      </c>
      <c r="AH103" s="4" t="s">
        <v>235</v>
      </c>
      <c r="AK103" s="4" t="s">
        <v>180</v>
      </c>
    </row>
    <row r="104" spans="1:37" x14ac:dyDescent="0.2">
      <c r="A104" s="34">
        <v>44</v>
      </c>
      <c r="B104" s="12" t="s">
        <v>90</v>
      </c>
      <c r="C104" s="5" t="s">
        <v>238</v>
      </c>
      <c r="D104" s="4" t="s">
        <v>235</v>
      </c>
      <c r="E104" s="11" t="s">
        <v>173</v>
      </c>
      <c r="F104" s="28">
        <v>4.49</v>
      </c>
      <c r="G104" s="28">
        <v>2240</v>
      </c>
      <c r="J104" s="4" t="s">
        <v>235</v>
      </c>
      <c r="K104" s="4" t="s">
        <v>173</v>
      </c>
      <c r="L104" s="4">
        <v>24.25</v>
      </c>
      <c r="M104" s="4">
        <v>3924</v>
      </c>
      <c r="P104" s="4" t="s">
        <v>235</v>
      </c>
      <c r="Q104" s="4" t="s">
        <v>173</v>
      </c>
      <c r="R104" s="4">
        <v>5.6</v>
      </c>
      <c r="S104" s="4">
        <v>1830</v>
      </c>
      <c r="V104" s="4" t="s">
        <v>235</v>
      </c>
      <c r="W104" s="4" t="s">
        <v>175</v>
      </c>
      <c r="X104" s="4">
        <v>6.84</v>
      </c>
      <c r="Y104" s="4">
        <v>1649</v>
      </c>
      <c r="AB104" s="4" t="s">
        <v>235</v>
      </c>
      <c r="AC104" s="4" t="s">
        <v>175</v>
      </c>
      <c r="AD104" s="4">
        <v>5.4</v>
      </c>
      <c r="AE104" s="4">
        <v>2076</v>
      </c>
      <c r="AH104" s="4" t="s">
        <v>235</v>
      </c>
      <c r="AK104" s="4" t="s">
        <v>180</v>
      </c>
    </row>
    <row r="105" spans="1:37" x14ac:dyDescent="0.2">
      <c r="A105" s="34">
        <v>45</v>
      </c>
      <c r="B105" s="12" t="s">
        <v>92</v>
      </c>
      <c r="C105" s="5" t="s">
        <v>238</v>
      </c>
      <c r="D105" s="4" t="s">
        <v>235</v>
      </c>
      <c r="E105" s="11" t="s">
        <v>173</v>
      </c>
      <c r="F105" s="28">
        <v>4.5999999999999996</v>
      </c>
      <c r="G105" s="28">
        <v>2271</v>
      </c>
      <c r="J105" s="4" t="s">
        <v>235</v>
      </c>
      <c r="K105" s="4" t="s">
        <v>173</v>
      </c>
      <c r="L105" s="4">
        <v>7.76</v>
      </c>
      <c r="M105" s="4">
        <v>2300</v>
      </c>
      <c r="P105" s="4" t="s">
        <v>235</v>
      </c>
      <c r="Q105" s="4" t="s">
        <v>175</v>
      </c>
      <c r="R105" s="4">
        <v>6.43</v>
      </c>
      <c r="S105" s="4">
        <v>1862</v>
      </c>
      <c r="V105" s="4" t="s">
        <v>235</v>
      </c>
      <c r="W105" s="4" t="s">
        <v>175</v>
      </c>
      <c r="X105" s="4">
        <v>6.74</v>
      </c>
      <c r="Y105" s="4">
        <v>1668</v>
      </c>
      <c r="AB105" s="4" t="s">
        <v>235</v>
      </c>
      <c r="AC105" s="4" t="s">
        <v>175</v>
      </c>
      <c r="AD105" s="4">
        <v>7.16</v>
      </c>
      <c r="AE105" s="4">
        <v>2090</v>
      </c>
      <c r="AH105" s="4" t="s">
        <v>235</v>
      </c>
      <c r="AK105" s="4" t="s">
        <v>180</v>
      </c>
    </row>
    <row r="106" spans="1:37" x14ac:dyDescent="0.2">
      <c r="A106" s="34">
        <v>46</v>
      </c>
      <c r="B106" s="12" t="s">
        <v>93</v>
      </c>
      <c r="C106" s="5" t="s">
        <v>238</v>
      </c>
      <c r="D106" s="4" t="s">
        <v>235</v>
      </c>
      <c r="E106" s="11" t="s">
        <v>173</v>
      </c>
      <c r="F106" s="28">
        <v>11.65</v>
      </c>
      <c r="G106" s="28">
        <v>3520</v>
      </c>
      <c r="J106" s="4" t="s">
        <v>235</v>
      </c>
      <c r="K106" s="4" t="s">
        <v>173</v>
      </c>
      <c r="L106" s="4">
        <v>10.220000000000001</v>
      </c>
      <c r="M106" s="4">
        <v>2616</v>
      </c>
      <c r="P106" s="4" t="s">
        <v>235</v>
      </c>
      <c r="Q106" s="4" t="s">
        <v>173</v>
      </c>
      <c r="R106" s="4">
        <v>7.24</v>
      </c>
      <c r="S106" s="4">
        <v>1880</v>
      </c>
      <c r="V106" s="4" t="s">
        <v>235</v>
      </c>
      <c r="W106" s="4" t="s">
        <v>173</v>
      </c>
      <c r="X106" s="4">
        <v>10.68</v>
      </c>
      <c r="Y106" s="4">
        <v>1703</v>
      </c>
      <c r="AB106" s="4" t="s">
        <v>235</v>
      </c>
      <c r="AC106" s="4" t="s">
        <v>175</v>
      </c>
      <c r="AD106" s="4">
        <v>12.05</v>
      </c>
      <c r="AE106" s="4">
        <v>2442</v>
      </c>
      <c r="AH106" s="4" t="s">
        <v>235</v>
      </c>
      <c r="AK106" s="4" t="s">
        <v>180</v>
      </c>
    </row>
    <row r="107" spans="1:37" x14ac:dyDescent="0.2">
      <c r="A107" s="34">
        <v>47</v>
      </c>
      <c r="B107" s="12" t="s">
        <v>94</v>
      </c>
      <c r="C107" s="5" t="s">
        <v>239</v>
      </c>
      <c r="D107" s="4" t="s">
        <v>235</v>
      </c>
      <c r="E107" s="11" t="s">
        <v>173</v>
      </c>
      <c r="F107" s="28">
        <v>6.63</v>
      </c>
      <c r="G107" s="28">
        <v>2655</v>
      </c>
      <c r="J107" s="4" t="s">
        <v>235</v>
      </c>
      <c r="K107" s="4" t="s">
        <v>173</v>
      </c>
      <c r="L107" s="4">
        <v>18.21</v>
      </c>
      <c r="M107" s="4">
        <v>3431</v>
      </c>
      <c r="P107" s="4" t="s">
        <v>235</v>
      </c>
      <c r="Q107" s="4" t="s">
        <v>175</v>
      </c>
      <c r="R107" s="4">
        <v>8.3699999999999992</v>
      </c>
      <c r="S107" s="4">
        <v>1958</v>
      </c>
      <c r="V107" s="4" t="s">
        <v>235</v>
      </c>
      <c r="W107" s="4" t="s">
        <v>175</v>
      </c>
      <c r="X107" s="4">
        <v>14.12</v>
      </c>
      <c r="Y107" s="4">
        <v>1763</v>
      </c>
      <c r="AB107" s="4" t="s">
        <v>235</v>
      </c>
      <c r="AC107" s="4" t="s">
        <v>175</v>
      </c>
      <c r="AD107" s="4">
        <v>7.45</v>
      </c>
      <c r="AE107" s="4">
        <v>2208</v>
      </c>
      <c r="AH107" s="4" t="s">
        <v>235</v>
      </c>
      <c r="AK107" s="4" t="s">
        <v>180</v>
      </c>
    </row>
    <row r="108" spans="1:37" x14ac:dyDescent="0.2">
      <c r="A108" s="34">
        <v>48</v>
      </c>
      <c r="B108" s="12" t="s">
        <v>95</v>
      </c>
      <c r="C108" s="5" t="s">
        <v>239</v>
      </c>
      <c r="D108" s="4" t="s">
        <v>235</v>
      </c>
      <c r="E108" s="11" t="s">
        <v>173</v>
      </c>
      <c r="F108" s="28">
        <v>8.89</v>
      </c>
      <c r="G108" s="28">
        <v>3111</v>
      </c>
      <c r="J108" s="4" t="s">
        <v>235</v>
      </c>
      <c r="K108" s="4" t="s">
        <v>173</v>
      </c>
      <c r="L108" s="4">
        <v>23.53</v>
      </c>
      <c r="M108" s="4">
        <v>4056</v>
      </c>
      <c r="P108" s="4" t="s">
        <v>235</v>
      </c>
      <c r="Q108" s="4" t="s">
        <v>175</v>
      </c>
      <c r="R108" s="4">
        <v>8.59</v>
      </c>
      <c r="S108" s="4">
        <v>1955</v>
      </c>
      <c r="V108" s="4" t="s">
        <v>235</v>
      </c>
      <c r="W108" s="4" t="s">
        <v>173</v>
      </c>
      <c r="X108" s="4">
        <v>9.0399999999999991</v>
      </c>
      <c r="Y108" s="4">
        <v>1723</v>
      </c>
      <c r="AB108" s="4" t="s">
        <v>235</v>
      </c>
      <c r="AC108" s="4" t="s">
        <v>175</v>
      </c>
      <c r="AD108" s="4">
        <v>6.84</v>
      </c>
      <c r="AE108" s="4">
        <v>2168</v>
      </c>
      <c r="AH108" s="4" t="s">
        <v>235</v>
      </c>
      <c r="AK108" s="4" t="s">
        <v>180</v>
      </c>
    </row>
    <row r="109" spans="1:37" x14ac:dyDescent="0.2">
      <c r="A109" s="34">
        <v>49</v>
      </c>
      <c r="B109" s="12" t="s">
        <v>96</v>
      </c>
      <c r="C109" s="5" t="s">
        <v>239</v>
      </c>
      <c r="D109" s="4" t="s">
        <v>235</v>
      </c>
      <c r="E109" s="11" t="s">
        <v>173</v>
      </c>
      <c r="F109" s="28">
        <v>5.0999999999999996</v>
      </c>
      <c r="G109" s="28">
        <v>2455</v>
      </c>
      <c r="J109" s="4" t="s">
        <v>235</v>
      </c>
      <c r="K109" s="4" t="s">
        <v>173</v>
      </c>
      <c r="L109" s="4">
        <v>24.05</v>
      </c>
      <c r="M109" s="4">
        <v>4088</v>
      </c>
      <c r="P109" s="4" t="s">
        <v>235</v>
      </c>
      <c r="Q109" s="4" t="s">
        <v>175</v>
      </c>
      <c r="R109" s="4">
        <v>6.64</v>
      </c>
      <c r="S109" s="4">
        <v>1917</v>
      </c>
      <c r="V109" s="4" t="s">
        <v>235</v>
      </c>
      <c r="W109" s="4" t="s">
        <v>175</v>
      </c>
      <c r="X109" s="4">
        <v>20.04</v>
      </c>
      <c r="Y109" s="4">
        <v>1735</v>
      </c>
      <c r="AB109" s="4" t="s">
        <v>235</v>
      </c>
      <c r="AC109" s="4" t="s">
        <v>175</v>
      </c>
      <c r="AD109" s="4">
        <v>11.04</v>
      </c>
      <c r="AE109" s="4">
        <v>2156</v>
      </c>
      <c r="AH109" s="4" t="s">
        <v>235</v>
      </c>
      <c r="AK109" s="4" t="s">
        <v>180</v>
      </c>
    </row>
    <row r="110" spans="1:37" x14ac:dyDescent="0.2">
      <c r="A110" s="34">
        <v>50</v>
      </c>
      <c r="B110" s="12" t="s">
        <v>97</v>
      </c>
      <c r="C110" s="5" t="s">
        <v>239</v>
      </c>
      <c r="D110" s="4" t="s">
        <v>235</v>
      </c>
      <c r="E110" s="11" t="s">
        <v>173</v>
      </c>
      <c r="F110" s="28">
        <v>6.95</v>
      </c>
      <c r="G110" s="28">
        <v>2767</v>
      </c>
      <c r="J110" s="4" t="s">
        <v>235</v>
      </c>
      <c r="K110" s="4" t="s">
        <v>173</v>
      </c>
      <c r="L110" s="4">
        <v>26.91</v>
      </c>
      <c r="M110" s="4">
        <v>4237</v>
      </c>
      <c r="P110" s="4" t="s">
        <v>235</v>
      </c>
      <c r="Q110" s="4" t="s">
        <v>175</v>
      </c>
      <c r="R110" s="4">
        <v>7.76</v>
      </c>
      <c r="S110" s="4">
        <v>1937</v>
      </c>
      <c r="V110" s="4" t="s">
        <v>235</v>
      </c>
      <c r="W110" s="4" t="s">
        <v>175</v>
      </c>
      <c r="X110" s="4">
        <v>10.87</v>
      </c>
      <c r="Y110" s="4">
        <v>1763</v>
      </c>
      <c r="AB110" s="4" t="s">
        <v>235</v>
      </c>
      <c r="AC110" s="4" t="s">
        <v>175</v>
      </c>
      <c r="AD110" s="4">
        <v>8.3699999999999992</v>
      </c>
      <c r="AE110" s="4">
        <v>2206</v>
      </c>
      <c r="AH110" s="4" t="s">
        <v>235</v>
      </c>
      <c r="AK110" s="4" t="s">
        <v>180</v>
      </c>
    </row>
    <row r="111" spans="1:37" x14ac:dyDescent="0.2">
      <c r="A111" s="34">
        <v>51</v>
      </c>
      <c r="B111" s="12" t="s">
        <v>98</v>
      </c>
      <c r="C111" s="5" t="s">
        <v>239</v>
      </c>
      <c r="D111" s="4" t="s">
        <v>235</v>
      </c>
      <c r="E111" s="11" t="s">
        <v>173</v>
      </c>
      <c r="F111" s="28">
        <v>7.56</v>
      </c>
      <c r="G111" s="28">
        <v>2863</v>
      </c>
      <c r="J111" s="4" t="s">
        <v>235</v>
      </c>
      <c r="K111" s="4" t="s">
        <v>173</v>
      </c>
      <c r="L111" s="4">
        <v>41.14</v>
      </c>
      <c r="M111" s="4">
        <v>5802</v>
      </c>
      <c r="P111" s="4" t="s">
        <v>235</v>
      </c>
      <c r="Q111" s="4" t="s">
        <v>173</v>
      </c>
      <c r="R111" s="4">
        <v>7.43</v>
      </c>
      <c r="S111" s="4">
        <v>1913</v>
      </c>
      <c r="V111" s="4" t="s">
        <v>235</v>
      </c>
      <c r="W111" s="4" t="s">
        <v>173</v>
      </c>
      <c r="X111" s="4">
        <v>9.16</v>
      </c>
      <c r="Y111" s="4">
        <v>1713</v>
      </c>
      <c r="AB111" s="4" t="s">
        <v>235</v>
      </c>
      <c r="AC111" s="4" t="s">
        <v>175</v>
      </c>
      <c r="AD111" s="4">
        <v>7.81</v>
      </c>
      <c r="AE111" s="4">
        <v>2182</v>
      </c>
      <c r="AH111" s="4" t="s">
        <v>235</v>
      </c>
      <c r="AK111" s="4" t="s">
        <v>180</v>
      </c>
    </row>
    <row r="112" spans="1:37" x14ac:dyDescent="0.2">
      <c r="A112" s="34">
        <v>52</v>
      </c>
      <c r="B112" s="12" t="s">
        <v>99</v>
      </c>
      <c r="C112" s="5" t="s">
        <v>240</v>
      </c>
      <c r="D112" s="4" t="s">
        <v>235</v>
      </c>
      <c r="E112" s="11" t="s">
        <v>173</v>
      </c>
      <c r="F112" s="28">
        <v>4.28</v>
      </c>
      <c r="G112" s="28">
        <v>2260</v>
      </c>
      <c r="J112" s="4" t="s">
        <v>235</v>
      </c>
      <c r="K112" s="4" t="s">
        <v>173</v>
      </c>
      <c r="L112" s="4">
        <v>22.61</v>
      </c>
      <c r="M112" s="4">
        <v>3824</v>
      </c>
      <c r="P112" s="4" t="s">
        <v>235</v>
      </c>
      <c r="Q112" s="4" t="s">
        <v>175</v>
      </c>
      <c r="R112" s="4">
        <v>5.94</v>
      </c>
      <c r="S112" s="4">
        <v>1859</v>
      </c>
      <c r="V112" s="4" t="s">
        <v>235</v>
      </c>
      <c r="W112" s="4" t="s">
        <v>173</v>
      </c>
      <c r="X112" s="4">
        <v>6.33</v>
      </c>
      <c r="Y112" s="4">
        <v>1639</v>
      </c>
      <c r="AB112" s="4" t="s">
        <v>235</v>
      </c>
      <c r="AC112" s="4" t="s">
        <v>173</v>
      </c>
      <c r="AD112" s="4">
        <v>9.86</v>
      </c>
      <c r="AE112" s="4">
        <v>2315</v>
      </c>
      <c r="AH112" s="4" t="s">
        <v>235</v>
      </c>
      <c r="AK112" s="4" t="s">
        <v>180</v>
      </c>
    </row>
    <row r="113" spans="1:37" x14ac:dyDescent="0.2">
      <c r="A113" s="34">
        <v>53</v>
      </c>
      <c r="B113" s="12" t="s">
        <v>100</v>
      </c>
      <c r="C113" s="5" t="s">
        <v>240</v>
      </c>
      <c r="D113" s="4" t="s">
        <v>235</v>
      </c>
      <c r="E113" s="11" t="s">
        <v>173</v>
      </c>
      <c r="F113" s="28">
        <v>4.8</v>
      </c>
      <c r="G113" s="28">
        <v>2345</v>
      </c>
      <c r="J113" s="4" t="s">
        <v>235</v>
      </c>
      <c r="K113" s="4" t="s">
        <v>173</v>
      </c>
      <c r="L113" s="4">
        <v>16.16</v>
      </c>
      <c r="M113" s="4">
        <v>3242</v>
      </c>
      <c r="P113" s="4" t="s">
        <v>235</v>
      </c>
      <c r="Q113" s="4" t="s">
        <v>173</v>
      </c>
      <c r="R113" s="4">
        <v>5.3</v>
      </c>
      <c r="S113" s="4">
        <v>1839</v>
      </c>
      <c r="V113" s="4" t="s">
        <v>235</v>
      </c>
      <c r="W113" s="4" t="s">
        <v>173</v>
      </c>
      <c r="X113" s="4">
        <v>6.33</v>
      </c>
      <c r="Y113" s="4">
        <v>1627</v>
      </c>
      <c r="AB113" s="4" t="s">
        <v>235</v>
      </c>
      <c r="AC113" s="4" t="s">
        <v>173</v>
      </c>
      <c r="AD113" s="4">
        <v>11.03</v>
      </c>
      <c r="AE113" s="4">
        <v>2347</v>
      </c>
      <c r="AH113" s="4" t="s">
        <v>235</v>
      </c>
      <c r="AK113" s="4" t="s">
        <v>180</v>
      </c>
    </row>
    <row r="114" spans="1:37" x14ac:dyDescent="0.2">
      <c r="A114" s="34">
        <v>54</v>
      </c>
      <c r="B114" s="12" t="s">
        <v>101</v>
      </c>
      <c r="C114" s="5" t="s">
        <v>240</v>
      </c>
      <c r="D114" s="4" t="s">
        <v>235</v>
      </c>
      <c r="E114" s="11" t="s">
        <v>173</v>
      </c>
      <c r="F114" s="28">
        <v>7.15</v>
      </c>
      <c r="G114" s="28">
        <v>2764</v>
      </c>
      <c r="J114" s="4" t="s">
        <v>235</v>
      </c>
      <c r="K114" s="4" t="s">
        <v>173</v>
      </c>
      <c r="L114" s="4">
        <v>19.54</v>
      </c>
      <c r="M114" s="4">
        <v>3527</v>
      </c>
      <c r="P114" s="4" t="s">
        <v>235</v>
      </c>
      <c r="Q114" s="4" t="s">
        <v>173</v>
      </c>
      <c r="R114" s="4">
        <v>4.59</v>
      </c>
      <c r="S114" s="4">
        <v>1832</v>
      </c>
      <c r="V114" s="4" t="s">
        <v>235</v>
      </c>
      <c r="W114" s="4" t="s">
        <v>173</v>
      </c>
      <c r="X114" s="4">
        <v>7.56</v>
      </c>
      <c r="Y114" s="4">
        <v>1626</v>
      </c>
      <c r="AB114" s="4" t="s">
        <v>235</v>
      </c>
      <c r="AC114" s="4" t="s">
        <v>173</v>
      </c>
      <c r="AD114" s="4">
        <v>5.92</v>
      </c>
      <c r="AE114" s="4">
        <v>2070</v>
      </c>
      <c r="AH114" s="4" t="s">
        <v>235</v>
      </c>
      <c r="AK114" s="4" t="s">
        <v>180</v>
      </c>
    </row>
    <row r="115" spans="1:37" x14ac:dyDescent="0.2">
      <c r="A115" s="34">
        <v>55</v>
      </c>
      <c r="B115" s="12" t="s">
        <v>101</v>
      </c>
      <c r="C115" s="5" t="s">
        <v>240</v>
      </c>
      <c r="D115" s="4" t="s">
        <v>235</v>
      </c>
      <c r="E115" s="11" t="s">
        <v>173</v>
      </c>
      <c r="F115" s="28">
        <v>4.38</v>
      </c>
      <c r="G115" s="28">
        <v>2283</v>
      </c>
      <c r="J115" s="4" t="s">
        <v>235</v>
      </c>
      <c r="K115" s="4" t="s">
        <v>173</v>
      </c>
      <c r="L115" s="4">
        <v>15.76</v>
      </c>
      <c r="M115" s="4">
        <v>3133</v>
      </c>
      <c r="P115" s="4" t="s">
        <v>235</v>
      </c>
      <c r="Q115" s="4" t="s">
        <v>173</v>
      </c>
      <c r="R115" s="4">
        <v>4.49</v>
      </c>
      <c r="S115" s="4">
        <v>1829</v>
      </c>
      <c r="V115" s="4" t="s">
        <v>235</v>
      </c>
      <c r="W115" s="4" t="s">
        <v>173</v>
      </c>
      <c r="X115" s="4">
        <v>9.3000000000000007</v>
      </c>
      <c r="Y115" s="4">
        <v>1627</v>
      </c>
      <c r="AB115" s="4" t="s">
        <v>235</v>
      </c>
      <c r="AC115" s="4" t="s">
        <v>173</v>
      </c>
      <c r="AD115" s="4">
        <v>6.12</v>
      </c>
      <c r="AE115" s="4">
        <v>2082</v>
      </c>
      <c r="AH115" s="4" t="s">
        <v>235</v>
      </c>
      <c r="AK115" s="4" t="s">
        <v>180</v>
      </c>
    </row>
    <row r="116" spans="1:37" x14ac:dyDescent="0.2">
      <c r="A116" s="34">
        <v>56</v>
      </c>
      <c r="B116" s="12" t="s">
        <v>102</v>
      </c>
      <c r="C116" s="5" t="s">
        <v>241</v>
      </c>
      <c r="D116" s="4" t="s">
        <v>235</v>
      </c>
      <c r="E116" s="11" t="s">
        <v>173</v>
      </c>
      <c r="F116" s="28">
        <v>5.41</v>
      </c>
      <c r="G116" s="28">
        <v>2391</v>
      </c>
      <c r="J116" s="4" t="s">
        <v>235</v>
      </c>
      <c r="K116" s="4" t="s">
        <v>173</v>
      </c>
      <c r="L116" s="4">
        <v>19.420000000000002</v>
      </c>
      <c r="M116" s="4">
        <v>3366</v>
      </c>
      <c r="P116" s="4" t="s">
        <v>235</v>
      </c>
      <c r="Q116" s="4" t="s">
        <v>173</v>
      </c>
      <c r="R116" s="4">
        <v>5.19</v>
      </c>
      <c r="S116" s="4">
        <v>1831</v>
      </c>
      <c r="V116" s="4" t="s">
        <v>235</v>
      </c>
      <c r="W116" s="4" t="s">
        <v>175</v>
      </c>
      <c r="X116" s="4">
        <v>7.86</v>
      </c>
      <c r="Y116" s="4">
        <v>1659</v>
      </c>
      <c r="AB116" s="4" t="s">
        <v>235</v>
      </c>
      <c r="AC116" s="4" t="s">
        <v>175</v>
      </c>
      <c r="AD116" s="4">
        <v>12.76</v>
      </c>
      <c r="AE116" s="4">
        <v>2068</v>
      </c>
      <c r="AH116" s="4" t="s">
        <v>235</v>
      </c>
      <c r="AK116" s="4" t="s">
        <v>180</v>
      </c>
    </row>
    <row r="117" spans="1:37" x14ac:dyDescent="0.2">
      <c r="A117" s="34">
        <v>57</v>
      </c>
      <c r="B117" s="12" t="s">
        <v>103</v>
      </c>
      <c r="C117" s="5" t="s">
        <v>241</v>
      </c>
      <c r="D117" s="4" t="s">
        <v>235</v>
      </c>
      <c r="E117" s="11" t="s">
        <v>173</v>
      </c>
      <c r="F117" s="28">
        <v>6.64</v>
      </c>
      <c r="G117" s="28">
        <v>2483</v>
      </c>
      <c r="J117" s="4" t="s">
        <v>235</v>
      </c>
      <c r="K117" s="4" t="s">
        <v>173</v>
      </c>
      <c r="L117" s="4">
        <v>19.54</v>
      </c>
      <c r="M117" s="4">
        <v>3342</v>
      </c>
      <c r="P117" s="4" t="s">
        <v>235</v>
      </c>
      <c r="Q117" s="4" t="s">
        <v>173</v>
      </c>
      <c r="R117" s="4">
        <v>5.3</v>
      </c>
      <c r="S117" s="4">
        <v>1824</v>
      </c>
      <c r="V117" s="4" t="s">
        <v>235</v>
      </c>
      <c r="W117" s="4" t="s">
        <v>173</v>
      </c>
      <c r="X117" s="4">
        <v>12.57</v>
      </c>
      <c r="Y117" s="4">
        <v>1756</v>
      </c>
      <c r="AB117" s="4" t="s">
        <v>235</v>
      </c>
      <c r="AC117" s="4" t="s">
        <v>173</v>
      </c>
      <c r="AD117" s="4">
        <v>9.4</v>
      </c>
      <c r="AE117" s="4">
        <v>2317</v>
      </c>
      <c r="AH117" s="4" t="s">
        <v>235</v>
      </c>
      <c r="AK117" s="4" t="s">
        <v>180</v>
      </c>
    </row>
    <row r="118" spans="1:37" x14ac:dyDescent="0.2">
      <c r="A118" s="34">
        <v>58</v>
      </c>
      <c r="B118" s="12" t="s">
        <v>104</v>
      </c>
      <c r="C118" s="5" t="s">
        <v>241</v>
      </c>
      <c r="D118" s="4" t="s">
        <v>235</v>
      </c>
      <c r="E118" s="11" t="s">
        <v>173</v>
      </c>
      <c r="F118" s="28">
        <v>5.0999999999999996</v>
      </c>
      <c r="G118" s="28">
        <v>2351</v>
      </c>
      <c r="J118" s="4" t="s">
        <v>235</v>
      </c>
      <c r="K118" s="4" t="s">
        <v>173</v>
      </c>
      <c r="L118" s="4">
        <v>15.75</v>
      </c>
      <c r="M118" s="4">
        <v>3053</v>
      </c>
      <c r="P118" s="4" t="s">
        <v>235</v>
      </c>
      <c r="Q118" s="4" t="s">
        <v>173</v>
      </c>
      <c r="R118" s="4">
        <v>5.5</v>
      </c>
      <c r="S118" s="4">
        <v>1816</v>
      </c>
      <c r="V118" s="4" t="s">
        <v>235</v>
      </c>
      <c r="W118" s="4" t="s">
        <v>173</v>
      </c>
      <c r="X118" s="4">
        <v>8.68</v>
      </c>
      <c r="Y118" s="4">
        <v>1620</v>
      </c>
      <c r="AB118" s="4" t="s">
        <v>235</v>
      </c>
      <c r="AC118" s="4" t="s">
        <v>175</v>
      </c>
      <c r="AD118" s="4">
        <v>6.74</v>
      </c>
      <c r="AE118" s="4">
        <v>2053</v>
      </c>
      <c r="AH118" s="4" t="s">
        <v>235</v>
      </c>
      <c r="AK118" s="4" t="s">
        <v>180</v>
      </c>
    </row>
    <row r="119" spans="1:37" x14ac:dyDescent="0.2">
      <c r="A119" s="34">
        <v>59</v>
      </c>
      <c r="B119" s="12" t="s">
        <v>105</v>
      </c>
      <c r="C119" s="5" t="s">
        <v>241</v>
      </c>
      <c r="D119" s="4" t="s">
        <v>235</v>
      </c>
      <c r="E119" s="11" t="s">
        <v>173</v>
      </c>
      <c r="F119" s="28">
        <v>10.02</v>
      </c>
      <c r="G119" s="28">
        <v>3259</v>
      </c>
      <c r="J119" s="4" t="s">
        <v>235</v>
      </c>
      <c r="K119" s="4" t="s">
        <v>173</v>
      </c>
      <c r="L119" s="4">
        <v>17.18</v>
      </c>
      <c r="M119" s="4">
        <v>3189</v>
      </c>
      <c r="P119" s="4" t="s">
        <v>235</v>
      </c>
      <c r="Q119" s="4" t="s">
        <v>175</v>
      </c>
      <c r="R119" s="4">
        <v>6.22</v>
      </c>
      <c r="S119" s="4">
        <v>1867</v>
      </c>
      <c r="V119" s="4" t="s">
        <v>235</v>
      </c>
      <c r="W119" s="4" t="s">
        <v>175</v>
      </c>
      <c r="X119" s="4">
        <v>7.85</v>
      </c>
      <c r="Y119" s="4">
        <v>1643</v>
      </c>
      <c r="AB119" s="4" t="s">
        <v>235</v>
      </c>
      <c r="AC119" s="4" t="s">
        <v>175</v>
      </c>
      <c r="AD119" s="4">
        <v>5.82</v>
      </c>
      <c r="AE119" s="4">
        <v>2069</v>
      </c>
      <c r="AH119" s="4" t="s">
        <v>235</v>
      </c>
      <c r="AK119" s="4" t="s">
        <v>180</v>
      </c>
    </row>
    <row r="120" spans="1:37" x14ac:dyDescent="0.2">
      <c r="A120" s="34">
        <v>60</v>
      </c>
      <c r="B120" s="12" t="s">
        <v>102</v>
      </c>
      <c r="C120" s="5" t="s">
        <v>241</v>
      </c>
      <c r="D120" s="4" t="s">
        <v>235</v>
      </c>
      <c r="E120" s="11" t="s">
        <v>173</v>
      </c>
      <c r="F120" s="28">
        <v>10.02</v>
      </c>
      <c r="G120" s="28">
        <v>3161</v>
      </c>
      <c r="J120" s="4" t="s">
        <v>235</v>
      </c>
      <c r="K120" s="4" t="s">
        <v>173</v>
      </c>
      <c r="L120" s="4">
        <v>29.17</v>
      </c>
      <c r="M120" s="4">
        <v>4112</v>
      </c>
      <c r="P120" s="4" t="s">
        <v>235</v>
      </c>
      <c r="Q120" s="4" t="s">
        <v>173</v>
      </c>
      <c r="R120" s="4">
        <v>4.8899999999999997</v>
      </c>
      <c r="S120" s="4">
        <v>1828</v>
      </c>
      <c r="V120" s="4" t="s">
        <v>235</v>
      </c>
      <c r="W120" s="4" t="s">
        <v>173</v>
      </c>
      <c r="X120" s="4">
        <v>14.41</v>
      </c>
      <c r="Y120" s="4">
        <v>1635</v>
      </c>
      <c r="AB120" s="4" t="s">
        <v>235</v>
      </c>
      <c r="AC120" s="4" t="s">
        <v>173</v>
      </c>
      <c r="AD120" s="4">
        <v>9.19</v>
      </c>
      <c r="AE120" s="4">
        <v>2308</v>
      </c>
      <c r="AH120" s="4" t="s">
        <v>235</v>
      </c>
      <c r="AK120" s="4" t="s">
        <v>180</v>
      </c>
    </row>
    <row r="121" spans="1:37" x14ac:dyDescent="0.2">
      <c r="A121" s="34">
        <v>61</v>
      </c>
      <c r="B121" s="12" t="s">
        <v>106</v>
      </c>
      <c r="C121" s="5" t="s">
        <v>241</v>
      </c>
      <c r="D121" s="4" t="s">
        <v>235</v>
      </c>
      <c r="E121" s="11" t="s">
        <v>173</v>
      </c>
      <c r="F121" s="28">
        <v>14.98</v>
      </c>
      <c r="G121" s="28">
        <v>3639</v>
      </c>
      <c r="J121" s="4" t="s">
        <v>235</v>
      </c>
      <c r="K121" s="4" t="s">
        <v>173</v>
      </c>
      <c r="L121" s="4">
        <v>37.24</v>
      </c>
      <c r="M121" s="4">
        <v>5241</v>
      </c>
      <c r="P121" s="4" t="s">
        <v>235</v>
      </c>
      <c r="Q121" s="4" t="s">
        <v>175</v>
      </c>
      <c r="R121" s="4">
        <v>9.09</v>
      </c>
      <c r="S121" s="4">
        <v>1995</v>
      </c>
      <c r="V121" s="4" t="s">
        <v>235</v>
      </c>
      <c r="W121" s="4" t="s">
        <v>175</v>
      </c>
      <c r="X121" s="4">
        <v>11.55</v>
      </c>
      <c r="Y121" s="4">
        <v>1833</v>
      </c>
      <c r="AB121" s="4" t="s">
        <v>235</v>
      </c>
      <c r="AC121" s="4" t="s">
        <v>173</v>
      </c>
      <c r="AD121" s="4">
        <v>10.32</v>
      </c>
      <c r="AE121" s="4">
        <v>2360</v>
      </c>
      <c r="AH121" s="4" t="s">
        <v>235</v>
      </c>
      <c r="AK121" s="4" t="s">
        <v>180</v>
      </c>
    </row>
    <row r="122" spans="1:37" x14ac:dyDescent="0.2">
      <c r="A122" s="34">
        <v>1</v>
      </c>
      <c r="B122" s="12" t="s">
        <v>52</v>
      </c>
      <c r="C122" s="5">
        <v>1</v>
      </c>
      <c r="D122" s="4" t="s">
        <v>236</v>
      </c>
      <c r="E122" s="11" t="s">
        <v>173</v>
      </c>
      <c r="F122" s="28">
        <v>4.96</v>
      </c>
      <c r="G122" s="28">
        <v>2717</v>
      </c>
      <c r="J122" s="4" t="s">
        <v>236</v>
      </c>
      <c r="K122" s="4" t="s">
        <v>173</v>
      </c>
      <c r="L122" s="4">
        <v>10.130000000000001</v>
      </c>
      <c r="M122" s="4">
        <v>2959</v>
      </c>
      <c r="P122" s="4" t="s">
        <v>236</v>
      </c>
      <c r="Q122" s="4" t="s">
        <v>173</v>
      </c>
      <c r="R122" s="4">
        <v>9.99</v>
      </c>
      <c r="S122" s="4">
        <v>2186</v>
      </c>
      <c r="V122" s="4" t="s">
        <v>236</v>
      </c>
      <c r="W122" s="4" t="s">
        <v>173</v>
      </c>
      <c r="X122" s="4">
        <v>10.87</v>
      </c>
      <c r="Y122" s="4">
        <v>2034</v>
      </c>
      <c r="AB122" s="4" t="s">
        <v>236</v>
      </c>
      <c r="AC122" s="4" t="s">
        <v>173</v>
      </c>
      <c r="AD122" s="4">
        <v>7.33</v>
      </c>
      <c r="AE122" s="4">
        <v>2447</v>
      </c>
      <c r="AH122" s="4" t="s">
        <v>236</v>
      </c>
      <c r="AI122" s="4" t="s">
        <v>175</v>
      </c>
      <c r="AJ122" s="4">
        <v>20.3</v>
      </c>
      <c r="AK122" s="4" t="s">
        <v>180</v>
      </c>
    </row>
    <row r="123" spans="1:37" x14ac:dyDescent="0.2">
      <c r="A123" s="34">
        <v>2</v>
      </c>
      <c r="B123" s="12" t="s">
        <v>53</v>
      </c>
      <c r="C123" s="5">
        <v>1</v>
      </c>
      <c r="D123" s="4" t="s">
        <v>236</v>
      </c>
      <c r="E123" s="11" t="s">
        <v>173</v>
      </c>
      <c r="F123" s="28">
        <v>4.49</v>
      </c>
      <c r="G123" s="28">
        <v>2697</v>
      </c>
      <c r="J123" s="4" t="s">
        <v>236</v>
      </c>
      <c r="K123" s="4" t="s">
        <v>173</v>
      </c>
      <c r="L123" s="4">
        <v>7.63</v>
      </c>
      <c r="M123" s="4">
        <v>2654</v>
      </c>
      <c r="P123" s="4" t="s">
        <v>236</v>
      </c>
      <c r="Q123" s="4" t="s">
        <v>173</v>
      </c>
      <c r="R123" s="4">
        <v>8.4700000000000006</v>
      </c>
      <c r="S123" s="4">
        <v>2186</v>
      </c>
      <c r="V123" s="4" t="s">
        <v>236</v>
      </c>
      <c r="W123" s="4" t="s">
        <v>173</v>
      </c>
      <c r="X123" s="4">
        <v>15.51</v>
      </c>
      <c r="Y123" s="4">
        <v>2053</v>
      </c>
      <c r="AB123" s="4" t="s">
        <v>236</v>
      </c>
      <c r="AC123" s="4" t="s">
        <v>173</v>
      </c>
      <c r="AD123" s="4">
        <v>6.94</v>
      </c>
      <c r="AE123" s="4">
        <v>2473</v>
      </c>
      <c r="AH123" s="4" t="s">
        <v>236</v>
      </c>
      <c r="AI123" s="4" t="s">
        <v>175</v>
      </c>
      <c r="AJ123" s="4">
        <v>36.64</v>
      </c>
      <c r="AK123" s="4" t="s">
        <v>180</v>
      </c>
    </row>
    <row r="124" spans="1:37" x14ac:dyDescent="0.2">
      <c r="A124" s="34">
        <v>3</v>
      </c>
      <c r="B124" s="12" t="s">
        <v>54</v>
      </c>
      <c r="C124" s="5">
        <v>1</v>
      </c>
      <c r="D124" s="4" t="s">
        <v>236</v>
      </c>
      <c r="E124" s="11" t="s">
        <v>173</v>
      </c>
      <c r="F124" s="28">
        <v>4.9000000000000004</v>
      </c>
      <c r="G124" s="28">
        <v>2702</v>
      </c>
      <c r="J124" s="4" t="s">
        <v>236</v>
      </c>
      <c r="K124" s="4" t="s">
        <v>173</v>
      </c>
      <c r="L124" s="4">
        <v>8.89</v>
      </c>
      <c r="M124" s="4">
        <v>2811</v>
      </c>
      <c r="P124" s="4" t="s">
        <v>236</v>
      </c>
      <c r="Q124" s="4" t="s">
        <v>173</v>
      </c>
      <c r="R124" s="4">
        <v>9.69</v>
      </c>
      <c r="S124" s="4">
        <v>2191</v>
      </c>
      <c r="V124" s="4" t="s">
        <v>236</v>
      </c>
      <c r="W124" s="4" t="s">
        <v>173</v>
      </c>
      <c r="X124" s="4">
        <v>11.94</v>
      </c>
      <c r="Y124" s="4">
        <v>2077</v>
      </c>
      <c r="AB124" s="4" t="s">
        <v>236</v>
      </c>
      <c r="AC124" s="4" t="s">
        <v>173</v>
      </c>
      <c r="AD124" s="4">
        <v>6.92</v>
      </c>
      <c r="AE124" s="4">
        <v>2456</v>
      </c>
      <c r="AH124" s="4" t="s">
        <v>236</v>
      </c>
      <c r="AI124" s="4" t="s">
        <v>173</v>
      </c>
      <c r="AJ124" s="4">
        <v>18.23</v>
      </c>
      <c r="AK124" s="4" t="s">
        <v>180</v>
      </c>
    </row>
    <row r="125" spans="1:37" x14ac:dyDescent="0.2">
      <c r="A125" s="34">
        <v>4</v>
      </c>
      <c r="B125" s="12" t="s">
        <v>55</v>
      </c>
      <c r="C125" s="5">
        <v>1</v>
      </c>
      <c r="D125" s="4" t="s">
        <v>236</v>
      </c>
      <c r="E125" s="11" t="s">
        <v>173</v>
      </c>
      <c r="F125" s="28">
        <v>6.02</v>
      </c>
      <c r="G125" s="28">
        <v>2884</v>
      </c>
      <c r="J125" s="4" t="s">
        <v>236</v>
      </c>
      <c r="K125" s="4" t="s">
        <v>173</v>
      </c>
      <c r="L125" s="4">
        <v>11.66</v>
      </c>
      <c r="M125" s="4">
        <v>3130</v>
      </c>
      <c r="P125" s="4" t="s">
        <v>236</v>
      </c>
      <c r="Q125" s="4" t="s">
        <v>175</v>
      </c>
      <c r="R125" s="4">
        <v>12.18</v>
      </c>
      <c r="S125" s="4">
        <v>2297</v>
      </c>
      <c r="V125" s="4" t="s">
        <v>236</v>
      </c>
      <c r="W125" s="4" t="s">
        <v>173</v>
      </c>
      <c r="X125" s="4">
        <v>10.36</v>
      </c>
      <c r="Y125" s="4">
        <v>2051</v>
      </c>
      <c r="AB125" s="4" t="s">
        <v>236</v>
      </c>
      <c r="AC125" s="4" t="s">
        <v>173</v>
      </c>
      <c r="AD125" s="4">
        <v>6.44</v>
      </c>
      <c r="AE125" s="4">
        <v>2483</v>
      </c>
      <c r="AH125" s="4" t="s">
        <v>236</v>
      </c>
      <c r="AI125" s="4" t="s">
        <v>173</v>
      </c>
      <c r="AJ125" s="4">
        <v>18.670000000000002</v>
      </c>
      <c r="AK125" s="4" t="s">
        <v>180</v>
      </c>
    </row>
    <row r="126" spans="1:37" x14ac:dyDescent="0.2">
      <c r="A126" s="34">
        <v>5</v>
      </c>
      <c r="B126" s="12" t="s">
        <v>56</v>
      </c>
      <c r="C126" s="5">
        <v>1</v>
      </c>
      <c r="D126" s="4" t="s">
        <v>236</v>
      </c>
      <c r="E126" s="11" t="s">
        <v>173</v>
      </c>
      <c r="F126" s="28">
        <v>5.41</v>
      </c>
      <c r="G126" s="28">
        <v>2772</v>
      </c>
      <c r="J126" s="4" t="s">
        <v>236</v>
      </c>
      <c r="K126" s="4" t="s">
        <v>173</v>
      </c>
      <c r="L126" s="4">
        <v>12.16</v>
      </c>
      <c r="M126" s="4">
        <v>3129</v>
      </c>
      <c r="P126" s="4" t="s">
        <v>236</v>
      </c>
      <c r="Q126" s="4" t="s">
        <v>175</v>
      </c>
      <c r="R126" s="4">
        <v>11.46</v>
      </c>
      <c r="S126" s="4">
        <v>2271</v>
      </c>
      <c r="V126" s="4" t="s">
        <v>236</v>
      </c>
      <c r="W126" s="4" t="s">
        <v>173</v>
      </c>
      <c r="X126" s="4">
        <v>12.88</v>
      </c>
      <c r="Y126" s="4">
        <v>2065</v>
      </c>
      <c r="AB126" s="4" t="s">
        <v>236</v>
      </c>
      <c r="AC126" s="4" t="s">
        <v>175</v>
      </c>
      <c r="AD126" s="4">
        <v>8.3699999999999992</v>
      </c>
      <c r="AE126" s="4">
        <v>2546</v>
      </c>
      <c r="AH126" s="4" t="s">
        <v>236</v>
      </c>
      <c r="AI126" s="4" t="s">
        <v>173</v>
      </c>
      <c r="AJ126" s="4">
        <v>19.510000000000002</v>
      </c>
      <c r="AK126" s="4" t="s">
        <v>180</v>
      </c>
    </row>
    <row r="127" spans="1:37" x14ac:dyDescent="0.2">
      <c r="A127" s="34">
        <v>6</v>
      </c>
      <c r="B127" s="12" t="s">
        <v>57</v>
      </c>
      <c r="C127" s="5">
        <v>1</v>
      </c>
      <c r="D127" s="4" t="s">
        <v>236</v>
      </c>
      <c r="E127" s="11" t="s">
        <v>173</v>
      </c>
      <c r="F127" s="28">
        <v>5.61</v>
      </c>
      <c r="G127" s="28">
        <v>2813</v>
      </c>
      <c r="J127" s="4" t="s">
        <v>236</v>
      </c>
      <c r="K127" s="4" t="s">
        <v>173</v>
      </c>
      <c r="L127" s="4">
        <v>10.220000000000001</v>
      </c>
      <c r="M127" s="4">
        <v>2969</v>
      </c>
      <c r="P127" s="4" t="s">
        <v>236</v>
      </c>
      <c r="Q127" s="4" t="s">
        <v>173</v>
      </c>
      <c r="R127" s="4">
        <v>8.8699999999999992</v>
      </c>
      <c r="S127" s="4">
        <v>2201</v>
      </c>
      <c r="V127" s="4" t="s">
        <v>236</v>
      </c>
      <c r="W127" s="4" t="s">
        <v>173</v>
      </c>
      <c r="X127" s="4">
        <v>9.89</v>
      </c>
      <c r="Y127" s="4">
        <v>2023</v>
      </c>
      <c r="AB127" s="4" t="s">
        <v>236</v>
      </c>
      <c r="AC127" s="4" t="s">
        <v>173</v>
      </c>
      <c r="AD127" s="4">
        <v>6.32</v>
      </c>
      <c r="AE127" s="4">
        <v>2460</v>
      </c>
      <c r="AH127" s="4" t="s">
        <v>236</v>
      </c>
      <c r="AI127" s="4" t="s">
        <v>173</v>
      </c>
      <c r="AJ127" s="4">
        <v>18.079999999999998</v>
      </c>
      <c r="AK127" s="4" t="s">
        <v>180</v>
      </c>
    </row>
    <row r="128" spans="1:37" x14ac:dyDescent="0.2">
      <c r="A128" s="34">
        <v>7</v>
      </c>
      <c r="B128" s="12" t="s">
        <v>58</v>
      </c>
      <c r="C128" s="5">
        <v>1</v>
      </c>
      <c r="D128" s="4" t="s">
        <v>236</v>
      </c>
      <c r="E128" s="11" t="s">
        <v>173</v>
      </c>
      <c r="F128" s="28">
        <v>5.71</v>
      </c>
      <c r="G128" s="28">
        <v>2816</v>
      </c>
      <c r="J128" s="4" t="s">
        <v>236</v>
      </c>
      <c r="K128" s="4" t="s">
        <v>173</v>
      </c>
      <c r="L128" s="4">
        <v>11.65</v>
      </c>
      <c r="M128" s="4">
        <v>3107</v>
      </c>
      <c r="P128" s="4" t="s">
        <v>236</v>
      </c>
      <c r="Q128" s="4" t="s">
        <v>175</v>
      </c>
      <c r="R128" s="4">
        <v>11.65</v>
      </c>
      <c r="S128" s="4">
        <v>2267</v>
      </c>
      <c r="V128" s="4" t="s">
        <v>236</v>
      </c>
      <c r="W128" s="4" t="s">
        <v>173</v>
      </c>
      <c r="X128" s="4">
        <v>9.32</v>
      </c>
      <c r="Y128" s="4">
        <v>2021</v>
      </c>
      <c r="AB128" s="4" t="s">
        <v>236</v>
      </c>
      <c r="AC128" s="4" t="s">
        <v>173</v>
      </c>
      <c r="AD128" s="4">
        <v>6.53</v>
      </c>
      <c r="AE128" s="4">
        <v>2448</v>
      </c>
      <c r="AH128" s="4" t="s">
        <v>236</v>
      </c>
      <c r="AI128" s="4" t="s">
        <v>175</v>
      </c>
      <c r="AJ128" s="4">
        <v>23.71</v>
      </c>
      <c r="AK128" s="4" t="s">
        <v>180</v>
      </c>
    </row>
    <row r="129" spans="1:37" x14ac:dyDescent="0.2">
      <c r="A129" s="34">
        <v>8</v>
      </c>
      <c r="B129" s="12" t="s">
        <v>59</v>
      </c>
      <c r="C129" s="5">
        <v>1</v>
      </c>
      <c r="D129" s="4" t="s">
        <v>236</v>
      </c>
      <c r="E129" s="11" t="s">
        <v>173</v>
      </c>
      <c r="F129" s="28">
        <v>5.21</v>
      </c>
      <c r="G129" s="28">
        <v>2782</v>
      </c>
      <c r="J129" s="4" t="s">
        <v>236</v>
      </c>
      <c r="K129" s="4" t="s">
        <v>173</v>
      </c>
      <c r="L129" s="4">
        <v>10.79</v>
      </c>
      <c r="M129" s="4">
        <v>2987</v>
      </c>
      <c r="P129" s="4" t="s">
        <v>236</v>
      </c>
      <c r="Q129" s="4" t="s">
        <v>173</v>
      </c>
      <c r="R129" s="4">
        <v>8.4700000000000006</v>
      </c>
      <c r="S129" s="4">
        <v>2204</v>
      </c>
      <c r="V129" s="4" t="s">
        <v>236</v>
      </c>
      <c r="W129" s="4" t="s">
        <v>173</v>
      </c>
      <c r="X129" s="4">
        <v>9.7100000000000009</v>
      </c>
      <c r="Y129" s="4">
        <v>1998</v>
      </c>
      <c r="AB129" s="4" t="s">
        <v>236</v>
      </c>
      <c r="AC129" s="4" t="s">
        <v>173</v>
      </c>
      <c r="AD129" s="4">
        <v>6.22</v>
      </c>
      <c r="AE129" s="4">
        <v>2453</v>
      </c>
      <c r="AH129" s="4" t="s">
        <v>236</v>
      </c>
      <c r="AI129" s="4" t="s">
        <v>175</v>
      </c>
      <c r="AJ129" s="4">
        <v>21.62</v>
      </c>
      <c r="AK129" s="4" t="s">
        <v>180</v>
      </c>
    </row>
    <row r="130" spans="1:37" x14ac:dyDescent="0.2">
      <c r="A130" s="34">
        <v>9</v>
      </c>
      <c r="B130" s="12" t="s">
        <v>60</v>
      </c>
      <c r="C130" s="5">
        <v>1</v>
      </c>
      <c r="D130" s="4" t="s">
        <v>236</v>
      </c>
      <c r="E130" s="11" t="s">
        <v>173</v>
      </c>
      <c r="F130" s="28">
        <v>4.8499999999999996</v>
      </c>
      <c r="G130" s="28">
        <v>2712</v>
      </c>
      <c r="J130" s="4" t="s">
        <v>236</v>
      </c>
      <c r="K130" s="4" t="s">
        <v>173</v>
      </c>
      <c r="L130" s="4">
        <v>10.16</v>
      </c>
      <c r="M130" s="4">
        <v>2903</v>
      </c>
      <c r="P130" s="4" t="s">
        <v>236</v>
      </c>
      <c r="Q130" s="4" t="s">
        <v>173</v>
      </c>
      <c r="R130" s="4">
        <v>9.2899999999999991</v>
      </c>
      <c r="S130" s="4">
        <v>2213</v>
      </c>
      <c r="V130" s="4" t="s">
        <v>236</v>
      </c>
      <c r="W130" s="4" t="s">
        <v>173</v>
      </c>
      <c r="X130" s="4">
        <v>10.63</v>
      </c>
      <c r="Y130" s="4">
        <v>2051</v>
      </c>
      <c r="AB130" s="4" t="s">
        <v>236</v>
      </c>
      <c r="AC130" s="4" t="s">
        <v>173</v>
      </c>
      <c r="AD130" s="4">
        <v>7.35</v>
      </c>
      <c r="AE130" s="4">
        <v>2486</v>
      </c>
      <c r="AH130" s="4" t="s">
        <v>236</v>
      </c>
      <c r="AI130" s="4" t="s">
        <v>173</v>
      </c>
      <c r="AJ130" s="4">
        <v>18.68</v>
      </c>
      <c r="AK130" s="4" t="s">
        <v>180</v>
      </c>
    </row>
    <row r="131" spans="1:37" x14ac:dyDescent="0.2">
      <c r="A131" s="34">
        <v>10</v>
      </c>
      <c r="B131" s="12" t="s">
        <v>61</v>
      </c>
      <c r="C131" s="5">
        <v>1</v>
      </c>
      <c r="D131" s="4" t="s">
        <v>236</v>
      </c>
      <c r="E131" s="11" t="s">
        <v>173</v>
      </c>
      <c r="F131" s="28">
        <v>5.2</v>
      </c>
      <c r="G131" s="28">
        <v>2780</v>
      </c>
      <c r="J131" s="4" t="s">
        <v>236</v>
      </c>
      <c r="K131" s="4" t="s">
        <v>173</v>
      </c>
      <c r="L131" s="4">
        <v>11.35</v>
      </c>
      <c r="M131" s="4">
        <v>3097</v>
      </c>
      <c r="P131" s="4" t="s">
        <v>236</v>
      </c>
      <c r="Q131" s="4" t="s">
        <v>173</v>
      </c>
      <c r="R131" s="4">
        <v>7.67</v>
      </c>
      <c r="S131" s="4">
        <v>2190</v>
      </c>
      <c r="V131" s="4" t="s">
        <v>236</v>
      </c>
      <c r="W131" s="4" t="s">
        <v>173</v>
      </c>
      <c r="X131" s="4">
        <v>11.03</v>
      </c>
      <c r="Y131" s="4">
        <v>2043</v>
      </c>
      <c r="AB131" s="4" t="s">
        <v>236</v>
      </c>
      <c r="AC131" s="4" t="s">
        <v>173</v>
      </c>
      <c r="AD131" s="4">
        <v>6.43</v>
      </c>
      <c r="AE131" s="4">
        <v>2451</v>
      </c>
      <c r="AH131" s="4" t="s">
        <v>236</v>
      </c>
      <c r="AI131" s="4" t="s">
        <v>173</v>
      </c>
      <c r="AJ131" s="4">
        <v>18.73</v>
      </c>
      <c r="AK131" s="4" t="s">
        <v>180</v>
      </c>
    </row>
    <row r="132" spans="1:37" x14ac:dyDescent="0.2">
      <c r="A132" s="34">
        <v>11</v>
      </c>
      <c r="B132" s="12" t="s">
        <v>62</v>
      </c>
      <c r="C132" s="5">
        <v>1</v>
      </c>
      <c r="D132" s="4" t="s">
        <v>236</v>
      </c>
      <c r="E132" s="11" t="s">
        <v>173</v>
      </c>
      <c r="F132" s="28">
        <v>7.89</v>
      </c>
      <c r="G132" s="28">
        <v>3258</v>
      </c>
      <c r="J132" s="4" t="s">
        <v>236</v>
      </c>
      <c r="K132" s="4" t="s">
        <v>173</v>
      </c>
      <c r="L132" s="4">
        <v>19.29</v>
      </c>
      <c r="M132" s="4">
        <v>3917</v>
      </c>
      <c r="P132" s="4" t="s">
        <v>236</v>
      </c>
      <c r="Q132" s="4" t="s">
        <v>175</v>
      </c>
      <c r="R132" s="4">
        <v>11.24</v>
      </c>
      <c r="S132" s="4">
        <v>2251</v>
      </c>
      <c r="V132" s="4" t="s">
        <v>236</v>
      </c>
      <c r="W132" s="4" t="s">
        <v>173</v>
      </c>
      <c r="X132" s="4">
        <v>10.32</v>
      </c>
      <c r="Y132" s="4">
        <v>2013</v>
      </c>
      <c r="AB132" s="4" t="s">
        <v>236</v>
      </c>
      <c r="AC132" s="4" t="s">
        <v>173</v>
      </c>
      <c r="AD132" s="4">
        <v>7.26</v>
      </c>
      <c r="AE132" s="4">
        <v>2489</v>
      </c>
      <c r="AH132" s="4" t="s">
        <v>236</v>
      </c>
      <c r="AI132" s="4" t="s">
        <v>173</v>
      </c>
      <c r="AJ132" s="4">
        <v>19.149999999999999</v>
      </c>
      <c r="AK132" s="4" t="s">
        <v>180</v>
      </c>
    </row>
    <row r="133" spans="1:37" x14ac:dyDescent="0.2">
      <c r="A133" s="34">
        <v>12</v>
      </c>
      <c r="B133" s="12" t="s">
        <v>63</v>
      </c>
      <c r="C133" s="5">
        <v>1</v>
      </c>
      <c r="D133" s="4" t="s">
        <v>236</v>
      </c>
      <c r="E133" s="11" t="s">
        <v>173</v>
      </c>
      <c r="F133" s="28">
        <v>6.34</v>
      </c>
      <c r="G133" s="28">
        <v>3051</v>
      </c>
      <c r="J133" s="4" t="s">
        <v>236</v>
      </c>
      <c r="K133" s="4" t="s">
        <v>173</v>
      </c>
      <c r="L133" s="4">
        <v>18.09</v>
      </c>
      <c r="M133" s="4">
        <v>3950</v>
      </c>
      <c r="P133" s="4" t="s">
        <v>236</v>
      </c>
      <c r="Q133" s="4" t="s">
        <v>173</v>
      </c>
      <c r="R133" s="4">
        <v>13.09</v>
      </c>
      <c r="S133" s="4">
        <v>2335</v>
      </c>
      <c r="V133" s="4" t="s">
        <v>236</v>
      </c>
      <c r="W133" s="4" t="s">
        <v>173</v>
      </c>
      <c r="X133" s="4">
        <v>14.1</v>
      </c>
      <c r="Y133" s="4">
        <v>2137</v>
      </c>
      <c r="AB133" s="4" t="s">
        <v>236</v>
      </c>
      <c r="AC133" s="4" t="s">
        <v>173</v>
      </c>
      <c r="AD133" s="4">
        <v>7.56</v>
      </c>
      <c r="AE133" s="4">
        <v>2619</v>
      </c>
      <c r="AH133" s="4" t="s">
        <v>236</v>
      </c>
      <c r="AI133" s="4" t="s">
        <v>173</v>
      </c>
      <c r="AJ133" s="4">
        <v>18.760000000000002</v>
      </c>
      <c r="AK133" s="4" t="s">
        <v>180</v>
      </c>
    </row>
    <row r="134" spans="1:37" x14ac:dyDescent="0.2">
      <c r="A134" s="34">
        <v>13</v>
      </c>
      <c r="B134" s="12" t="s">
        <v>64</v>
      </c>
      <c r="C134" s="5">
        <v>2</v>
      </c>
      <c r="D134" s="4" t="s">
        <v>236</v>
      </c>
      <c r="E134" s="11" t="s">
        <v>173</v>
      </c>
      <c r="F134" s="28">
        <v>5.0999999999999996</v>
      </c>
      <c r="G134" s="28">
        <v>2741</v>
      </c>
      <c r="J134" s="4" t="s">
        <v>236</v>
      </c>
      <c r="K134" s="4" t="s">
        <v>173</v>
      </c>
      <c r="L134" s="4">
        <v>9.86</v>
      </c>
      <c r="M134" s="4">
        <v>2846</v>
      </c>
      <c r="P134" s="4" t="s">
        <v>236</v>
      </c>
      <c r="Q134" s="4" t="s">
        <v>175</v>
      </c>
      <c r="R134" s="4">
        <v>11.95</v>
      </c>
      <c r="S134" s="4">
        <v>2274</v>
      </c>
      <c r="V134" s="4" t="s">
        <v>236</v>
      </c>
      <c r="W134" s="4" t="s">
        <v>173</v>
      </c>
      <c r="X134" s="4">
        <v>20.97</v>
      </c>
      <c r="Y134" s="4">
        <v>2057</v>
      </c>
      <c r="AB134" s="4" t="s">
        <v>236</v>
      </c>
      <c r="AC134" s="4" t="s">
        <v>173</v>
      </c>
      <c r="AD134" s="4">
        <v>8.57</v>
      </c>
      <c r="AE134" s="4">
        <v>2464</v>
      </c>
      <c r="AH134" s="4" t="s">
        <v>236</v>
      </c>
      <c r="AI134" s="4" t="s">
        <v>175</v>
      </c>
      <c r="AJ134" s="4">
        <v>19.96</v>
      </c>
      <c r="AK134" s="4" t="s">
        <v>180</v>
      </c>
    </row>
    <row r="135" spans="1:37" x14ac:dyDescent="0.2">
      <c r="A135" s="34">
        <v>14</v>
      </c>
      <c r="B135" s="12" t="s">
        <v>65</v>
      </c>
      <c r="C135" s="5">
        <v>2</v>
      </c>
      <c r="D135" s="4" t="s">
        <v>236</v>
      </c>
      <c r="E135" s="11" t="s">
        <v>173</v>
      </c>
      <c r="F135" s="28">
        <v>5.4</v>
      </c>
      <c r="G135" s="28">
        <v>2787</v>
      </c>
      <c r="J135" s="4" t="s">
        <v>236</v>
      </c>
      <c r="K135" s="4" t="s">
        <v>173</v>
      </c>
      <c r="L135" s="4">
        <v>8.93</v>
      </c>
      <c r="M135" s="4">
        <v>2814</v>
      </c>
      <c r="P135" s="4" t="s">
        <v>236</v>
      </c>
      <c r="Q135" s="4" t="s">
        <v>173</v>
      </c>
      <c r="R135" s="4">
        <v>8.58</v>
      </c>
      <c r="S135" s="4">
        <v>2198</v>
      </c>
      <c r="V135" s="4" t="s">
        <v>236</v>
      </c>
      <c r="W135" s="4" t="s">
        <v>173</v>
      </c>
      <c r="X135" s="4">
        <v>12.58</v>
      </c>
      <c r="Y135" s="4">
        <v>2036</v>
      </c>
      <c r="AB135" s="4" t="s">
        <v>236</v>
      </c>
      <c r="AC135" s="4" t="s">
        <v>173</v>
      </c>
      <c r="AD135" s="4">
        <v>10.94</v>
      </c>
      <c r="AE135" s="4">
        <v>2488</v>
      </c>
      <c r="AH135" s="4" t="s">
        <v>236</v>
      </c>
      <c r="AI135" s="4" t="s">
        <v>173</v>
      </c>
      <c r="AJ135" s="4">
        <v>18.5</v>
      </c>
      <c r="AK135" s="4" t="s">
        <v>180</v>
      </c>
    </row>
    <row r="136" spans="1:37" x14ac:dyDescent="0.2">
      <c r="A136" s="34">
        <v>15</v>
      </c>
      <c r="B136" s="12" t="s">
        <v>66</v>
      </c>
      <c r="C136" s="5">
        <v>2</v>
      </c>
      <c r="D136" s="4" t="s">
        <v>236</v>
      </c>
      <c r="E136" s="11" t="s">
        <v>173</v>
      </c>
      <c r="F136" s="28">
        <v>10.220000000000001</v>
      </c>
      <c r="G136" s="28">
        <v>3679</v>
      </c>
      <c r="J136" s="4" t="s">
        <v>236</v>
      </c>
      <c r="K136" s="4" t="s">
        <v>173</v>
      </c>
      <c r="L136" s="4">
        <v>11.01</v>
      </c>
      <c r="M136" s="4">
        <v>3042</v>
      </c>
      <c r="P136" s="4" t="s">
        <v>236</v>
      </c>
      <c r="Q136" s="4" t="s">
        <v>173</v>
      </c>
      <c r="R136" s="4">
        <v>8.7899999999999991</v>
      </c>
      <c r="S136" s="4">
        <v>2198</v>
      </c>
      <c r="V136" s="4" t="s">
        <v>236</v>
      </c>
      <c r="W136" s="4" t="s">
        <v>173</v>
      </c>
      <c r="X136" s="4">
        <v>12.77</v>
      </c>
      <c r="Y136" s="4">
        <v>2067</v>
      </c>
      <c r="AB136" s="4" t="s">
        <v>236</v>
      </c>
      <c r="AC136" s="4" t="s">
        <v>173</v>
      </c>
      <c r="AD136" s="4">
        <v>7.46</v>
      </c>
      <c r="AE136" s="4">
        <v>2502</v>
      </c>
      <c r="AH136" s="4" t="s">
        <v>236</v>
      </c>
      <c r="AI136" s="4" t="s">
        <v>173</v>
      </c>
      <c r="AJ136" s="4">
        <v>19.27</v>
      </c>
      <c r="AK136" s="4" t="s">
        <v>180</v>
      </c>
    </row>
    <row r="137" spans="1:37" x14ac:dyDescent="0.2">
      <c r="A137" s="34">
        <v>16</v>
      </c>
      <c r="B137" s="12" t="s">
        <v>67</v>
      </c>
      <c r="C137" s="5">
        <v>2</v>
      </c>
      <c r="D137" s="4" t="s">
        <v>236</v>
      </c>
      <c r="E137" s="11" t="s">
        <v>173</v>
      </c>
      <c r="F137" s="28">
        <v>4.58</v>
      </c>
      <c r="G137" s="28">
        <v>2649</v>
      </c>
      <c r="J137" s="4" t="s">
        <v>236</v>
      </c>
      <c r="K137" s="4" t="s">
        <v>173</v>
      </c>
      <c r="L137" s="4">
        <v>15.43</v>
      </c>
      <c r="M137" s="4">
        <v>3548</v>
      </c>
      <c r="P137" s="4" t="s">
        <v>236</v>
      </c>
      <c r="Q137" s="4" t="s">
        <v>175</v>
      </c>
      <c r="R137" s="4">
        <v>14.01</v>
      </c>
      <c r="S137" s="4">
        <v>2325</v>
      </c>
      <c r="V137" s="4" t="s">
        <v>236</v>
      </c>
      <c r="W137" s="4" t="s">
        <v>173</v>
      </c>
      <c r="X137" s="4">
        <v>22.41</v>
      </c>
      <c r="Y137" s="4">
        <v>2065</v>
      </c>
      <c r="AB137" s="4" t="s">
        <v>236</v>
      </c>
      <c r="AC137" s="4" t="s">
        <v>173</v>
      </c>
      <c r="AD137" s="4">
        <v>6.63</v>
      </c>
      <c r="AE137" s="4">
        <v>2445</v>
      </c>
      <c r="AH137" s="4" t="s">
        <v>236</v>
      </c>
      <c r="AI137" s="4" t="s">
        <v>173</v>
      </c>
      <c r="AJ137" s="4">
        <v>18.7</v>
      </c>
      <c r="AK137" s="4" t="s">
        <v>180</v>
      </c>
    </row>
    <row r="138" spans="1:37" x14ac:dyDescent="0.2">
      <c r="A138" s="34">
        <v>17</v>
      </c>
      <c r="B138" s="12" t="s">
        <v>68</v>
      </c>
      <c r="C138" s="5">
        <v>2</v>
      </c>
      <c r="D138" s="4" t="s">
        <v>236</v>
      </c>
      <c r="E138" s="11" t="s">
        <v>173</v>
      </c>
      <c r="F138" s="28">
        <v>5.87</v>
      </c>
      <c r="G138" s="28">
        <v>2924</v>
      </c>
      <c r="J138" s="4" t="s">
        <v>236</v>
      </c>
      <c r="K138" s="4" t="s">
        <v>173</v>
      </c>
      <c r="L138" s="4">
        <v>9.39</v>
      </c>
      <c r="M138" s="4">
        <v>2834</v>
      </c>
      <c r="P138" s="4" t="s">
        <v>236</v>
      </c>
      <c r="Q138" s="4" t="s">
        <v>175</v>
      </c>
      <c r="R138" s="4">
        <v>10.62</v>
      </c>
      <c r="S138" s="4">
        <v>2264</v>
      </c>
      <c r="V138" s="4" t="s">
        <v>236</v>
      </c>
      <c r="W138" s="4" t="s">
        <v>173</v>
      </c>
      <c r="X138" s="4">
        <v>13.08</v>
      </c>
      <c r="Y138" s="4">
        <v>2004</v>
      </c>
      <c r="AB138" s="4" t="s">
        <v>236</v>
      </c>
      <c r="AC138" s="4" t="s">
        <v>175</v>
      </c>
      <c r="AD138" s="4">
        <v>9.81</v>
      </c>
      <c r="AE138" s="4">
        <v>2571</v>
      </c>
      <c r="AH138" s="4" t="s">
        <v>236</v>
      </c>
      <c r="AI138" s="4" t="s">
        <v>175</v>
      </c>
      <c r="AJ138" s="4">
        <v>19.98</v>
      </c>
      <c r="AK138" s="4" t="s">
        <v>180</v>
      </c>
    </row>
    <row r="139" spans="1:37" x14ac:dyDescent="0.2">
      <c r="A139" s="34">
        <v>18</v>
      </c>
      <c r="B139" s="12" t="s">
        <v>69</v>
      </c>
      <c r="C139" s="5">
        <v>2</v>
      </c>
      <c r="D139" s="4" t="s">
        <v>236</v>
      </c>
      <c r="E139" s="11" t="s">
        <v>173</v>
      </c>
      <c r="F139" s="28">
        <v>4.32</v>
      </c>
      <c r="G139" s="28">
        <v>2593</v>
      </c>
      <c r="J139" s="4" t="s">
        <v>236</v>
      </c>
      <c r="K139" s="4" t="s">
        <v>173</v>
      </c>
      <c r="L139" s="4">
        <v>9.73</v>
      </c>
      <c r="M139" s="4">
        <v>2918</v>
      </c>
      <c r="P139" s="4" t="s">
        <v>236</v>
      </c>
      <c r="Q139" s="4" t="s">
        <v>175</v>
      </c>
      <c r="R139" s="4">
        <v>11.86</v>
      </c>
      <c r="S139" s="4">
        <v>2301</v>
      </c>
      <c r="V139" s="4" t="s">
        <v>236</v>
      </c>
      <c r="W139" s="4" t="s">
        <v>173</v>
      </c>
      <c r="X139" s="4">
        <v>11.24</v>
      </c>
      <c r="Y139" s="4">
        <v>2038</v>
      </c>
      <c r="AB139" s="4" t="s">
        <v>236</v>
      </c>
      <c r="AC139" s="4" t="s">
        <v>175</v>
      </c>
      <c r="AD139" s="4">
        <v>6.42</v>
      </c>
      <c r="AE139" s="4">
        <v>2524</v>
      </c>
      <c r="AH139" s="4" t="s">
        <v>236</v>
      </c>
      <c r="AI139" s="4" t="s">
        <v>173</v>
      </c>
      <c r="AJ139" s="4">
        <v>18.61</v>
      </c>
      <c r="AK139" s="4" t="s">
        <v>180</v>
      </c>
    </row>
    <row r="140" spans="1:37" x14ac:dyDescent="0.2">
      <c r="A140" s="34">
        <v>19</v>
      </c>
      <c r="B140" s="12" t="s">
        <v>70</v>
      </c>
      <c r="C140" s="5">
        <v>2</v>
      </c>
      <c r="D140" s="4" t="s">
        <v>236</v>
      </c>
      <c r="E140" s="11" t="s">
        <v>173</v>
      </c>
      <c r="F140" s="28">
        <v>5.71</v>
      </c>
      <c r="G140" s="28">
        <v>2741</v>
      </c>
      <c r="J140" s="4" t="s">
        <v>236</v>
      </c>
      <c r="K140" s="4" t="s">
        <v>173</v>
      </c>
      <c r="L140" s="4">
        <v>12.15</v>
      </c>
      <c r="M140" s="4">
        <v>3168</v>
      </c>
      <c r="P140" s="4" t="s">
        <v>236</v>
      </c>
      <c r="Q140" s="4" t="s">
        <v>173</v>
      </c>
      <c r="R140" s="4">
        <v>8.7899999999999991</v>
      </c>
      <c r="S140" s="4">
        <v>2190</v>
      </c>
      <c r="V140" s="4" t="s">
        <v>236</v>
      </c>
      <c r="W140" s="4" t="s">
        <v>173</v>
      </c>
      <c r="X140" s="4">
        <v>12.46</v>
      </c>
      <c r="Y140" s="4">
        <v>2020</v>
      </c>
      <c r="AB140" s="4" t="s">
        <v>236</v>
      </c>
      <c r="AC140" s="4" t="s">
        <v>173</v>
      </c>
      <c r="AD140" s="4">
        <v>6.23</v>
      </c>
      <c r="AE140" s="4">
        <v>2454</v>
      </c>
      <c r="AH140" s="4" t="s">
        <v>236</v>
      </c>
      <c r="AI140" s="4" t="s">
        <v>173</v>
      </c>
      <c r="AJ140" s="4">
        <v>18.77</v>
      </c>
      <c r="AK140" s="4" t="s">
        <v>180</v>
      </c>
    </row>
    <row r="141" spans="1:37" x14ac:dyDescent="0.2">
      <c r="A141" s="34">
        <v>20</v>
      </c>
      <c r="B141" s="12" t="s">
        <v>71</v>
      </c>
      <c r="C141" s="5">
        <v>2</v>
      </c>
      <c r="D141" s="4" t="s">
        <v>236</v>
      </c>
      <c r="E141" s="11" t="s">
        <v>173</v>
      </c>
      <c r="F141" s="28">
        <v>4.6900000000000004</v>
      </c>
      <c r="G141" s="28">
        <v>2695</v>
      </c>
      <c r="J141" s="4" t="s">
        <v>236</v>
      </c>
      <c r="K141" s="4" t="s">
        <v>173</v>
      </c>
      <c r="L141" s="4">
        <v>11.45</v>
      </c>
      <c r="M141" s="4">
        <v>3085</v>
      </c>
      <c r="P141" s="4" t="s">
        <v>236</v>
      </c>
      <c r="Q141" s="4" t="s">
        <v>175</v>
      </c>
      <c r="R141" s="4">
        <v>11.24</v>
      </c>
      <c r="S141" s="4">
        <v>2245</v>
      </c>
      <c r="V141" s="4" t="s">
        <v>236</v>
      </c>
      <c r="W141" s="4" t="s">
        <v>173</v>
      </c>
      <c r="X141" s="4">
        <v>9.2899999999999991</v>
      </c>
      <c r="Y141" s="4">
        <v>2022</v>
      </c>
      <c r="AB141" s="4" t="s">
        <v>236</v>
      </c>
      <c r="AC141" s="4" t="s">
        <v>175</v>
      </c>
      <c r="AD141" s="4">
        <v>7.76</v>
      </c>
      <c r="AE141" s="4">
        <v>2549</v>
      </c>
      <c r="AH141" s="4" t="s">
        <v>236</v>
      </c>
      <c r="AI141" s="4" t="s">
        <v>175</v>
      </c>
      <c r="AJ141" s="4">
        <v>19.97</v>
      </c>
      <c r="AK141" s="4" t="s">
        <v>180</v>
      </c>
    </row>
    <row r="142" spans="1:37" x14ac:dyDescent="0.2">
      <c r="A142" s="34">
        <v>21</v>
      </c>
      <c r="B142" s="12" t="s">
        <v>72</v>
      </c>
      <c r="C142" s="5">
        <v>2</v>
      </c>
      <c r="D142" s="4" t="s">
        <v>236</v>
      </c>
      <c r="E142" s="11" t="s">
        <v>173</v>
      </c>
      <c r="F142" s="28">
        <v>5.6</v>
      </c>
      <c r="G142" s="28">
        <v>2893</v>
      </c>
      <c r="J142" s="4" t="s">
        <v>236</v>
      </c>
      <c r="K142" s="4" t="s">
        <v>173</v>
      </c>
      <c r="L142" s="4">
        <v>8.99</v>
      </c>
      <c r="M142" s="4">
        <v>2813</v>
      </c>
      <c r="P142" s="4" t="s">
        <v>236</v>
      </c>
      <c r="Q142" s="4" t="s">
        <v>173</v>
      </c>
      <c r="R142" s="4">
        <v>8.99</v>
      </c>
      <c r="S142" s="4">
        <v>2202</v>
      </c>
      <c r="V142" s="4" t="s">
        <v>236</v>
      </c>
      <c r="W142" s="4" t="s">
        <v>173</v>
      </c>
      <c r="X142" s="4">
        <v>13.6</v>
      </c>
      <c r="Y142" s="4">
        <v>2046</v>
      </c>
      <c r="AB142" s="4" t="s">
        <v>236</v>
      </c>
      <c r="AC142" s="4" t="s">
        <v>173</v>
      </c>
      <c r="AD142" s="4">
        <v>6.74</v>
      </c>
      <c r="AE142" s="4">
        <v>2467</v>
      </c>
      <c r="AH142" s="4" t="s">
        <v>236</v>
      </c>
      <c r="AI142" s="4" t="s">
        <v>173</v>
      </c>
      <c r="AJ142" s="4">
        <v>18.48</v>
      </c>
      <c r="AK142" s="4" t="s">
        <v>180</v>
      </c>
    </row>
    <row r="143" spans="1:37" x14ac:dyDescent="0.2">
      <c r="A143" s="34">
        <v>22</v>
      </c>
      <c r="B143" s="12" t="s">
        <v>73</v>
      </c>
      <c r="C143" s="5">
        <v>2</v>
      </c>
      <c r="D143" s="4" t="s">
        <v>236</v>
      </c>
      <c r="E143" s="11" t="s">
        <v>173</v>
      </c>
      <c r="F143" s="28">
        <v>4.29</v>
      </c>
      <c r="G143" s="28">
        <v>2546</v>
      </c>
      <c r="J143" s="4" t="s">
        <v>236</v>
      </c>
      <c r="K143" s="4" t="s">
        <v>173</v>
      </c>
      <c r="L143" s="4">
        <v>9.8000000000000007</v>
      </c>
      <c r="M143" s="4">
        <v>2877</v>
      </c>
      <c r="P143" s="4" t="s">
        <v>236</v>
      </c>
      <c r="Q143" s="4" t="s">
        <v>173</v>
      </c>
      <c r="R143" s="4">
        <v>9.3000000000000007</v>
      </c>
      <c r="S143" s="4">
        <v>2210</v>
      </c>
      <c r="V143" s="4" t="s">
        <v>236</v>
      </c>
      <c r="W143" s="4" t="s">
        <v>173</v>
      </c>
      <c r="X143" s="4">
        <v>23.02</v>
      </c>
      <c r="Y143" s="4">
        <v>2038</v>
      </c>
      <c r="AB143" s="4" t="s">
        <v>236</v>
      </c>
      <c r="AC143" s="4" t="s">
        <v>173</v>
      </c>
      <c r="AD143" s="4">
        <v>6.53</v>
      </c>
      <c r="AE143" s="4">
        <v>2469</v>
      </c>
      <c r="AH143" s="4" t="s">
        <v>236</v>
      </c>
      <c r="AI143" s="4" t="s">
        <v>173</v>
      </c>
      <c r="AJ143" s="4">
        <v>18.87</v>
      </c>
      <c r="AK143" s="4" t="s">
        <v>180</v>
      </c>
    </row>
    <row r="144" spans="1:37" x14ac:dyDescent="0.2">
      <c r="A144" s="34">
        <v>23</v>
      </c>
      <c r="B144" s="12" t="s">
        <v>74</v>
      </c>
      <c r="C144" s="5">
        <v>2</v>
      </c>
      <c r="D144" s="4" t="s">
        <v>236</v>
      </c>
      <c r="E144" s="11" t="s">
        <v>173</v>
      </c>
      <c r="F144" s="28">
        <v>6.63</v>
      </c>
      <c r="G144" s="28">
        <v>3047</v>
      </c>
      <c r="J144" s="4" t="s">
        <v>236</v>
      </c>
      <c r="K144" s="4" t="s">
        <v>173</v>
      </c>
      <c r="L144" s="4">
        <v>21.18</v>
      </c>
      <c r="M144" s="4">
        <v>4070</v>
      </c>
      <c r="P144" s="4" t="s">
        <v>236</v>
      </c>
      <c r="Q144" s="4" t="s">
        <v>173</v>
      </c>
      <c r="R144" s="4">
        <v>8.48</v>
      </c>
      <c r="S144" s="4">
        <v>2184</v>
      </c>
      <c r="V144" s="4" t="s">
        <v>236</v>
      </c>
      <c r="W144" s="4" t="s">
        <v>173</v>
      </c>
      <c r="X144" s="4">
        <v>24.96</v>
      </c>
      <c r="Y144" s="4">
        <v>2047</v>
      </c>
      <c r="AB144" s="4" t="s">
        <v>236</v>
      </c>
      <c r="AC144" s="4" t="s">
        <v>173</v>
      </c>
      <c r="AD144" s="4">
        <v>6.74</v>
      </c>
      <c r="AE144" s="4">
        <v>2461</v>
      </c>
      <c r="AH144" s="4" t="s">
        <v>236</v>
      </c>
      <c r="AI144" s="4" t="s">
        <v>173</v>
      </c>
      <c r="AJ144" s="4">
        <v>19.14</v>
      </c>
      <c r="AK144" s="4" t="s">
        <v>180</v>
      </c>
    </row>
    <row r="145" spans="1:37" x14ac:dyDescent="0.2">
      <c r="A145" s="34">
        <v>24</v>
      </c>
      <c r="B145" s="12" t="s">
        <v>75</v>
      </c>
      <c r="C145" s="5">
        <v>2</v>
      </c>
      <c r="D145" s="4" t="s">
        <v>236</v>
      </c>
      <c r="E145" s="11" t="s">
        <v>173</v>
      </c>
      <c r="F145" s="28">
        <v>5.61</v>
      </c>
      <c r="G145" s="28">
        <v>2887</v>
      </c>
      <c r="J145" s="4" t="s">
        <v>236</v>
      </c>
      <c r="K145" s="4" t="s">
        <v>173</v>
      </c>
      <c r="L145" s="4">
        <v>12.57</v>
      </c>
      <c r="M145" s="4">
        <v>3335</v>
      </c>
      <c r="P145" s="4" t="s">
        <v>236</v>
      </c>
      <c r="Q145" s="4" t="s">
        <v>173</v>
      </c>
      <c r="R145" s="4">
        <v>13.08</v>
      </c>
      <c r="S145" s="4">
        <v>2349</v>
      </c>
      <c r="V145" s="4" t="s">
        <v>236</v>
      </c>
      <c r="W145" s="4" t="s">
        <v>173</v>
      </c>
      <c r="X145" s="4">
        <v>12.37</v>
      </c>
      <c r="Y145" s="4">
        <v>2146</v>
      </c>
      <c r="AB145" s="4" t="s">
        <v>236</v>
      </c>
      <c r="AC145" s="4" t="s">
        <v>173</v>
      </c>
      <c r="AD145" s="4">
        <v>7.24</v>
      </c>
      <c r="AE145" s="4">
        <v>2587</v>
      </c>
      <c r="AH145" s="4" t="s">
        <v>236</v>
      </c>
      <c r="AI145" s="4" t="s">
        <v>173</v>
      </c>
      <c r="AJ145" s="4">
        <v>18.559999999999999</v>
      </c>
      <c r="AK145" s="4" t="s">
        <v>180</v>
      </c>
    </row>
    <row r="146" spans="1:37" x14ac:dyDescent="0.2">
      <c r="A146" s="34">
        <v>25</v>
      </c>
      <c r="B146" s="12" t="s">
        <v>76</v>
      </c>
      <c r="C146" s="5">
        <v>3</v>
      </c>
      <c r="D146" s="4" t="s">
        <v>236</v>
      </c>
      <c r="E146" s="11" t="s">
        <v>173</v>
      </c>
      <c r="F146" s="28">
        <v>5.0999999999999996</v>
      </c>
      <c r="G146" s="28">
        <v>2787</v>
      </c>
      <c r="J146" s="4" t="s">
        <v>236</v>
      </c>
      <c r="K146" s="4" t="s">
        <v>173</v>
      </c>
      <c r="L146" s="4">
        <v>12.04</v>
      </c>
      <c r="M146" s="4">
        <v>3164</v>
      </c>
      <c r="P146" s="4" t="s">
        <v>236</v>
      </c>
      <c r="Q146" s="4" t="s">
        <v>173</v>
      </c>
      <c r="R146" s="4">
        <v>8.8800000000000008</v>
      </c>
      <c r="S146" s="4">
        <v>2196</v>
      </c>
      <c r="V146" s="4" t="s">
        <v>236</v>
      </c>
      <c r="W146" s="4" t="s">
        <v>173</v>
      </c>
      <c r="X146" s="4">
        <v>12.47</v>
      </c>
      <c r="Y146" s="4">
        <v>2037</v>
      </c>
      <c r="AB146" s="4" t="s">
        <v>236</v>
      </c>
      <c r="AC146" s="4" t="s">
        <v>173</v>
      </c>
      <c r="AD146" s="4">
        <v>7.69</v>
      </c>
      <c r="AE146" s="4">
        <v>2500</v>
      </c>
      <c r="AH146" s="4" t="s">
        <v>236</v>
      </c>
      <c r="AI146" s="4" t="s">
        <v>175</v>
      </c>
      <c r="AJ146" s="4">
        <v>21.53</v>
      </c>
      <c r="AK146" s="4" t="s">
        <v>180</v>
      </c>
    </row>
    <row r="147" spans="1:37" x14ac:dyDescent="0.2">
      <c r="A147" s="34">
        <v>26</v>
      </c>
      <c r="B147" s="12" t="s">
        <v>77</v>
      </c>
      <c r="C147" s="5">
        <v>3</v>
      </c>
      <c r="D147" s="4" t="s">
        <v>236</v>
      </c>
      <c r="E147" s="11" t="s">
        <v>173</v>
      </c>
      <c r="F147" s="28">
        <v>5.0999999999999996</v>
      </c>
      <c r="G147" s="28">
        <v>2759</v>
      </c>
      <c r="J147" s="4" t="s">
        <v>236</v>
      </c>
      <c r="K147" s="4" t="s">
        <v>173</v>
      </c>
      <c r="L147" s="4">
        <v>8.76</v>
      </c>
      <c r="M147" s="4">
        <v>2836</v>
      </c>
      <c r="P147" s="4" t="s">
        <v>236</v>
      </c>
      <c r="Q147" s="4" t="s">
        <v>173</v>
      </c>
      <c r="R147" s="4">
        <v>9.31</v>
      </c>
      <c r="S147" s="4">
        <v>2200</v>
      </c>
      <c r="V147" s="4" t="s">
        <v>236</v>
      </c>
      <c r="W147" s="4" t="s">
        <v>173</v>
      </c>
      <c r="X147" s="4">
        <v>15.55</v>
      </c>
      <c r="Y147" s="4">
        <v>2021</v>
      </c>
      <c r="AB147" s="4" t="s">
        <v>236</v>
      </c>
      <c r="AC147" s="4" t="s">
        <v>173</v>
      </c>
      <c r="AD147" s="4">
        <v>6.53</v>
      </c>
      <c r="AE147" s="4">
        <v>2457</v>
      </c>
      <c r="AH147" s="4" t="s">
        <v>236</v>
      </c>
      <c r="AI147" s="4" t="s">
        <v>173</v>
      </c>
      <c r="AJ147" s="4">
        <v>18.75</v>
      </c>
      <c r="AK147" s="4" t="s">
        <v>180</v>
      </c>
    </row>
    <row r="148" spans="1:37" x14ac:dyDescent="0.2">
      <c r="A148" s="34">
        <v>27</v>
      </c>
      <c r="B148" s="12" t="s">
        <v>78</v>
      </c>
      <c r="C148" s="5">
        <v>3</v>
      </c>
      <c r="D148" s="4" t="s">
        <v>236</v>
      </c>
      <c r="E148" s="11" t="s">
        <v>173</v>
      </c>
      <c r="F148" s="28">
        <v>4.8899999999999997</v>
      </c>
      <c r="G148" s="28">
        <v>2698</v>
      </c>
      <c r="J148" s="4" t="s">
        <v>236</v>
      </c>
      <c r="K148" s="4" t="s">
        <v>173</v>
      </c>
      <c r="L148" s="4">
        <v>8.93</v>
      </c>
      <c r="M148" s="4">
        <v>2811</v>
      </c>
      <c r="P148" s="4" t="s">
        <v>236</v>
      </c>
      <c r="Q148" s="4" t="s">
        <v>175</v>
      </c>
      <c r="R148" s="4">
        <v>10.93</v>
      </c>
      <c r="S148" s="4">
        <v>2267</v>
      </c>
      <c r="V148" s="4" t="s">
        <v>236</v>
      </c>
      <c r="W148" s="4" t="s">
        <v>175</v>
      </c>
      <c r="X148" s="4">
        <v>11.34</v>
      </c>
      <c r="Y148" s="4">
        <v>2091</v>
      </c>
      <c r="AB148" s="4" t="s">
        <v>236</v>
      </c>
      <c r="AC148" s="4" t="s">
        <v>175</v>
      </c>
      <c r="AD148" s="4">
        <v>8.0299999999999994</v>
      </c>
      <c r="AE148" s="4">
        <v>2551</v>
      </c>
      <c r="AH148" s="4" t="s">
        <v>236</v>
      </c>
      <c r="AI148" s="4" t="s">
        <v>173</v>
      </c>
      <c r="AJ148" s="4">
        <v>18</v>
      </c>
      <c r="AK148" s="4" t="s">
        <v>180</v>
      </c>
    </row>
    <row r="149" spans="1:37" x14ac:dyDescent="0.2">
      <c r="A149" s="34">
        <v>28</v>
      </c>
      <c r="B149" s="12" t="s">
        <v>79</v>
      </c>
      <c r="C149" s="5">
        <v>3</v>
      </c>
      <c r="D149" s="4" t="s">
        <v>236</v>
      </c>
      <c r="E149" s="11" t="s">
        <v>173</v>
      </c>
      <c r="F149" s="28">
        <v>4.49</v>
      </c>
      <c r="G149" s="28">
        <v>2606</v>
      </c>
      <c r="J149" s="4" t="s">
        <v>236</v>
      </c>
      <c r="K149" s="4" t="s">
        <v>173</v>
      </c>
      <c r="L149" s="4">
        <v>11.45</v>
      </c>
      <c r="M149" s="4">
        <v>3125</v>
      </c>
      <c r="P149" s="4" t="s">
        <v>236</v>
      </c>
      <c r="Q149" s="4" t="s">
        <v>175</v>
      </c>
      <c r="R149" s="4">
        <v>12.05</v>
      </c>
      <c r="S149" s="4">
        <v>2283</v>
      </c>
      <c r="V149" s="4" t="s">
        <v>236</v>
      </c>
      <c r="W149" s="4" t="s">
        <v>175</v>
      </c>
      <c r="X149" s="4">
        <v>10.93</v>
      </c>
      <c r="Y149" s="4">
        <v>2100</v>
      </c>
      <c r="AB149" s="4" t="s">
        <v>236</v>
      </c>
      <c r="AC149" s="4" t="s">
        <v>175</v>
      </c>
      <c r="AD149" s="4">
        <v>7.96</v>
      </c>
      <c r="AE149" s="4">
        <v>2560</v>
      </c>
      <c r="AH149" s="4" t="s">
        <v>236</v>
      </c>
      <c r="AI149" s="4" t="s">
        <v>175</v>
      </c>
      <c r="AJ149" s="4">
        <v>23.41</v>
      </c>
      <c r="AK149" s="4" t="s">
        <v>180</v>
      </c>
    </row>
    <row r="150" spans="1:37" x14ac:dyDescent="0.2">
      <c r="A150" s="34">
        <v>29</v>
      </c>
      <c r="B150" s="12" t="s">
        <v>80</v>
      </c>
      <c r="C150" s="5">
        <v>3</v>
      </c>
      <c r="D150" s="4" t="s">
        <v>236</v>
      </c>
      <c r="E150" s="11" t="s">
        <v>173</v>
      </c>
      <c r="F150" s="28">
        <v>5.2</v>
      </c>
      <c r="G150" s="28">
        <v>2791</v>
      </c>
      <c r="J150" s="4" t="s">
        <v>236</v>
      </c>
      <c r="K150" s="4" t="s">
        <v>173</v>
      </c>
      <c r="L150" s="4">
        <v>10.73</v>
      </c>
      <c r="M150" s="4">
        <v>3046</v>
      </c>
      <c r="P150" s="4" t="s">
        <v>236</v>
      </c>
      <c r="Q150" s="4" t="s">
        <v>175</v>
      </c>
      <c r="R150" s="4">
        <v>12.3</v>
      </c>
      <c r="S150" s="4">
        <v>2299</v>
      </c>
      <c r="V150" s="4" t="s">
        <v>236</v>
      </c>
      <c r="W150" s="4" t="s">
        <v>175</v>
      </c>
      <c r="X150" s="4">
        <v>23.94</v>
      </c>
      <c r="Y150" s="4">
        <v>2097</v>
      </c>
      <c r="AB150" s="4" t="s">
        <v>236</v>
      </c>
      <c r="AC150" s="4" t="s">
        <v>175</v>
      </c>
      <c r="AD150" s="4">
        <v>7.76</v>
      </c>
      <c r="AE150" s="4">
        <v>2529</v>
      </c>
      <c r="AH150" s="4" t="s">
        <v>236</v>
      </c>
      <c r="AI150" s="4" t="s">
        <v>173</v>
      </c>
      <c r="AJ150" s="4">
        <v>18.13</v>
      </c>
      <c r="AK150" s="4" t="s">
        <v>180</v>
      </c>
    </row>
    <row r="151" spans="1:37" x14ac:dyDescent="0.2">
      <c r="A151" s="34">
        <v>30</v>
      </c>
      <c r="B151" s="12" t="s">
        <v>81</v>
      </c>
      <c r="C151" s="5">
        <v>3</v>
      </c>
      <c r="D151" s="4" t="s">
        <v>236</v>
      </c>
      <c r="E151" s="11" t="s">
        <v>173</v>
      </c>
      <c r="F151" s="28">
        <v>5.2</v>
      </c>
      <c r="G151" s="28">
        <v>2736</v>
      </c>
      <c r="J151" s="4" t="s">
        <v>236</v>
      </c>
      <c r="K151" s="4" t="s">
        <v>173</v>
      </c>
      <c r="L151" s="4">
        <v>13.7</v>
      </c>
      <c r="M151" s="4">
        <v>3283</v>
      </c>
      <c r="P151" s="4" t="s">
        <v>236</v>
      </c>
      <c r="Q151" s="4" t="s">
        <v>175</v>
      </c>
      <c r="R151" s="4">
        <v>12.96</v>
      </c>
      <c r="S151" s="4">
        <v>2303</v>
      </c>
      <c r="V151" s="4" t="s">
        <v>236</v>
      </c>
      <c r="W151" s="4" t="s">
        <v>173</v>
      </c>
      <c r="X151" s="4">
        <v>11.25</v>
      </c>
      <c r="Y151" s="4">
        <v>2030</v>
      </c>
      <c r="AB151" s="4" t="s">
        <v>236</v>
      </c>
      <c r="AC151" s="4" t="s">
        <v>175</v>
      </c>
      <c r="AD151" s="4">
        <v>7.77</v>
      </c>
      <c r="AE151" s="4">
        <v>2531</v>
      </c>
      <c r="AH151" s="4" t="s">
        <v>236</v>
      </c>
      <c r="AI151" s="4" t="s">
        <v>175</v>
      </c>
      <c r="AJ151" s="4">
        <v>19.559999999999999</v>
      </c>
      <c r="AK151" s="4" t="s">
        <v>180</v>
      </c>
    </row>
    <row r="152" spans="1:37" x14ac:dyDescent="0.2">
      <c r="A152" s="34">
        <v>31</v>
      </c>
      <c r="B152" s="12" t="s">
        <v>82</v>
      </c>
      <c r="C152" s="5">
        <v>3</v>
      </c>
      <c r="D152" s="4" t="s">
        <v>236</v>
      </c>
      <c r="E152" s="11" t="s">
        <v>173</v>
      </c>
      <c r="F152" s="28">
        <v>5.12</v>
      </c>
      <c r="G152" s="28">
        <v>2809</v>
      </c>
      <c r="J152" s="4" t="s">
        <v>236</v>
      </c>
      <c r="K152" s="4" t="s">
        <v>173</v>
      </c>
      <c r="L152" s="4">
        <v>15.85</v>
      </c>
      <c r="M152" s="4">
        <v>3572</v>
      </c>
      <c r="P152" s="4" t="s">
        <v>236</v>
      </c>
      <c r="Q152" s="4" t="s">
        <v>175</v>
      </c>
      <c r="R152" s="4">
        <v>11.34</v>
      </c>
      <c r="S152" s="4">
        <v>2271</v>
      </c>
      <c r="V152" s="4" t="s">
        <v>236</v>
      </c>
      <c r="W152" s="4" t="s">
        <v>175</v>
      </c>
      <c r="X152" s="4">
        <v>10.63</v>
      </c>
      <c r="Y152" s="4">
        <v>2073</v>
      </c>
      <c r="AB152" s="4" t="s">
        <v>236</v>
      </c>
      <c r="AC152" s="4" t="s">
        <v>175</v>
      </c>
      <c r="AD152" s="4">
        <v>9.7100000000000009</v>
      </c>
      <c r="AE152" s="4">
        <v>2591</v>
      </c>
      <c r="AH152" s="4" t="s">
        <v>236</v>
      </c>
      <c r="AI152" s="4" t="s">
        <v>175</v>
      </c>
      <c r="AJ152" s="4">
        <v>23.31</v>
      </c>
      <c r="AK152" s="4" t="s">
        <v>180</v>
      </c>
    </row>
    <row r="153" spans="1:37" x14ac:dyDescent="0.2">
      <c r="A153" s="34">
        <v>32</v>
      </c>
      <c r="B153" s="12" t="s">
        <v>83</v>
      </c>
      <c r="C153" s="5" t="s">
        <v>238</v>
      </c>
      <c r="D153" s="4" t="s">
        <v>236</v>
      </c>
      <c r="E153" s="11" t="s">
        <v>173</v>
      </c>
      <c r="F153" s="33">
        <v>5.68</v>
      </c>
      <c r="G153" s="28">
        <v>2718</v>
      </c>
      <c r="J153" s="4" t="s">
        <v>236</v>
      </c>
      <c r="K153" s="4" t="s">
        <v>173</v>
      </c>
      <c r="L153" s="4">
        <v>9.82</v>
      </c>
      <c r="M153" s="4">
        <v>2790</v>
      </c>
      <c r="P153" s="4" t="s">
        <v>236</v>
      </c>
      <c r="Q153" s="4" t="s">
        <v>175</v>
      </c>
      <c r="R153" s="4">
        <v>10.55</v>
      </c>
      <c r="S153" s="4">
        <v>2290</v>
      </c>
      <c r="V153" s="4" t="s">
        <v>236</v>
      </c>
      <c r="W153" s="4" t="s">
        <v>175</v>
      </c>
      <c r="X153" s="4">
        <v>17.22</v>
      </c>
      <c r="Y153" s="4">
        <v>2124</v>
      </c>
      <c r="AB153" s="4" t="s">
        <v>236</v>
      </c>
      <c r="AC153" s="4" t="s">
        <v>175</v>
      </c>
      <c r="AD153" s="4">
        <v>7.03</v>
      </c>
      <c r="AE153" s="4">
        <v>2518</v>
      </c>
      <c r="AH153" s="4" t="s">
        <v>236</v>
      </c>
      <c r="AK153" s="4" t="s">
        <v>180</v>
      </c>
    </row>
    <row r="154" spans="1:37" x14ac:dyDescent="0.2">
      <c r="A154" s="34">
        <v>33</v>
      </c>
      <c r="B154" s="12" t="s">
        <v>84</v>
      </c>
      <c r="C154" s="5" t="s">
        <v>238</v>
      </c>
      <c r="D154" s="4" t="s">
        <v>236</v>
      </c>
      <c r="E154" s="11" t="s">
        <v>173</v>
      </c>
      <c r="F154" s="33">
        <v>7.23</v>
      </c>
      <c r="G154" s="28">
        <v>2790</v>
      </c>
      <c r="J154" s="4" t="s">
        <v>236</v>
      </c>
      <c r="K154" s="4" t="s">
        <v>173</v>
      </c>
      <c r="L154" s="4">
        <v>15.55</v>
      </c>
      <c r="M154" s="4">
        <v>3435</v>
      </c>
      <c r="P154" s="4" t="s">
        <v>236</v>
      </c>
      <c r="Q154" s="4" t="s">
        <v>175</v>
      </c>
      <c r="R154" s="4">
        <v>8.4600000000000009</v>
      </c>
      <c r="S154" s="4">
        <v>2246</v>
      </c>
      <c r="V154" s="4" t="s">
        <v>236</v>
      </c>
      <c r="W154" s="4" t="s">
        <v>175</v>
      </c>
      <c r="X154" s="4">
        <v>13.95</v>
      </c>
      <c r="Y154" s="4">
        <v>2068</v>
      </c>
      <c r="AB154" s="4" t="s">
        <v>236</v>
      </c>
      <c r="AC154" s="4" t="s">
        <v>173</v>
      </c>
      <c r="AD154" s="4">
        <v>6.82</v>
      </c>
      <c r="AE154" s="4">
        <v>2510</v>
      </c>
      <c r="AH154" s="4" t="s">
        <v>236</v>
      </c>
      <c r="AK154" s="4" t="s">
        <v>180</v>
      </c>
    </row>
    <row r="155" spans="1:37" x14ac:dyDescent="0.2">
      <c r="A155" s="34">
        <v>34</v>
      </c>
      <c r="B155" s="12" t="s">
        <v>85</v>
      </c>
      <c r="C155" s="5" t="s">
        <v>238</v>
      </c>
      <c r="D155" s="4" t="s">
        <v>236</v>
      </c>
      <c r="E155" s="11" t="s">
        <v>173</v>
      </c>
      <c r="F155" s="33">
        <v>5.93</v>
      </c>
      <c r="G155" s="28">
        <v>2784</v>
      </c>
      <c r="J155" s="4" t="s">
        <v>236</v>
      </c>
      <c r="K155" s="4" t="s">
        <v>173</v>
      </c>
      <c r="L155" s="4">
        <v>15.55</v>
      </c>
      <c r="M155" s="4">
        <v>3427</v>
      </c>
      <c r="P155" s="4" t="s">
        <v>236</v>
      </c>
      <c r="Q155" s="4" t="s">
        <v>173</v>
      </c>
      <c r="R155" s="4">
        <v>7.66</v>
      </c>
      <c r="S155" s="4">
        <v>2196</v>
      </c>
      <c r="V155" s="4" t="s">
        <v>236</v>
      </c>
      <c r="W155" s="4" t="s">
        <v>173</v>
      </c>
      <c r="X155" s="4">
        <v>11.35</v>
      </c>
      <c r="Y155" s="4">
        <v>2018</v>
      </c>
      <c r="AB155" s="4" t="s">
        <v>236</v>
      </c>
      <c r="AC155" s="4" t="s">
        <v>175</v>
      </c>
      <c r="AD155" s="4">
        <v>7.65</v>
      </c>
      <c r="AE155" s="4">
        <v>2528</v>
      </c>
      <c r="AH155" s="4" t="s">
        <v>236</v>
      </c>
      <c r="AK155" s="4" t="s">
        <v>180</v>
      </c>
    </row>
    <row r="156" spans="1:37" x14ac:dyDescent="0.2">
      <c r="A156" s="34">
        <v>35</v>
      </c>
      <c r="B156" s="12" t="s">
        <v>86</v>
      </c>
      <c r="C156" s="5" t="s">
        <v>238</v>
      </c>
      <c r="D156" s="4" t="s">
        <v>236</v>
      </c>
      <c r="E156" s="11" t="s">
        <v>173</v>
      </c>
      <c r="F156" s="33">
        <v>6.32</v>
      </c>
      <c r="G156" s="28">
        <v>2864</v>
      </c>
      <c r="J156" s="4" t="s">
        <v>236</v>
      </c>
      <c r="K156" s="4" t="s">
        <v>173</v>
      </c>
      <c r="L156" s="4">
        <v>14.32</v>
      </c>
      <c r="M156" s="4">
        <v>3308</v>
      </c>
      <c r="P156" s="4" t="s">
        <v>236</v>
      </c>
      <c r="Q156" s="4" t="s">
        <v>173</v>
      </c>
      <c r="R156" s="4">
        <v>7.35</v>
      </c>
      <c r="S156" s="4">
        <v>2210</v>
      </c>
      <c r="V156" s="4" t="s">
        <v>236</v>
      </c>
      <c r="W156" s="4" t="s">
        <v>173</v>
      </c>
      <c r="X156" s="4">
        <v>8.2799999999999994</v>
      </c>
      <c r="Y156" s="4">
        <v>1983</v>
      </c>
      <c r="AB156" s="4" t="s">
        <v>236</v>
      </c>
      <c r="AC156" s="4" t="s">
        <v>173</v>
      </c>
      <c r="AD156" s="4">
        <v>8.68</v>
      </c>
      <c r="AE156" s="4">
        <v>2462</v>
      </c>
      <c r="AH156" s="4" t="s">
        <v>236</v>
      </c>
      <c r="AK156" s="4" t="s">
        <v>180</v>
      </c>
    </row>
    <row r="157" spans="1:37" x14ac:dyDescent="0.2">
      <c r="A157" s="34">
        <v>36</v>
      </c>
      <c r="B157" s="12" t="s">
        <v>77</v>
      </c>
      <c r="C157" s="5" t="s">
        <v>238</v>
      </c>
      <c r="D157" s="4" t="s">
        <v>236</v>
      </c>
      <c r="E157" s="11" t="s">
        <v>173</v>
      </c>
      <c r="F157" s="33">
        <v>6.13</v>
      </c>
      <c r="G157" s="28">
        <v>2795</v>
      </c>
      <c r="J157" s="4" t="s">
        <v>236</v>
      </c>
      <c r="K157" s="4" t="s">
        <v>173</v>
      </c>
      <c r="L157" s="4">
        <v>11.86</v>
      </c>
      <c r="M157" s="4">
        <v>3012</v>
      </c>
      <c r="P157" s="4" t="s">
        <v>236</v>
      </c>
      <c r="Q157" s="4" t="s">
        <v>173</v>
      </c>
      <c r="R157" s="4">
        <v>7.6</v>
      </c>
      <c r="S157" s="4">
        <v>2194</v>
      </c>
      <c r="V157" s="4" t="s">
        <v>236</v>
      </c>
      <c r="W157" s="4" t="s">
        <v>173</v>
      </c>
      <c r="X157" s="4">
        <v>11.75</v>
      </c>
      <c r="Y157" s="4">
        <v>2027</v>
      </c>
      <c r="AB157" s="4" t="s">
        <v>236</v>
      </c>
      <c r="AC157" s="4" t="s">
        <v>173</v>
      </c>
      <c r="AD157" s="4">
        <v>8.77</v>
      </c>
      <c r="AE157" s="4">
        <v>2488</v>
      </c>
      <c r="AH157" s="4" t="s">
        <v>236</v>
      </c>
      <c r="AK157" s="4" t="s">
        <v>180</v>
      </c>
    </row>
    <row r="158" spans="1:37" x14ac:dyDescent="0.2">
      <c r="A158" s="34">
        <v>37</v>
      </c>
      <c r="B158" s="12" t="s">
        <v>87</v>
      </c>
      <c r="C158" s="5" t="s">
        <v>238</v>
      </c>
      <c r="D158" s="4" t="s">
        <v>236</v>
      </c>
      <c r="E158" s="11" t="s">
        <v>173</v>
      </c>
      <c r="F158" s="33">
        <v>6.04</v>
      </c>
      <c r="G158" s="28">
        <v>2827</v>
      </c>
      <c r="J158" s="4" t="s">
        <v>236</v>
      </c>
      <c r="K158" s="4" t="s">
        <v>173</v>
      </c>
      <c r="L158" s="4">
        <v>16.260000000000002</v>
      </c>
      <c r="M158" s="4">
        <v>3492</v>
      </c>
      <c r="P158" s="4" t="s">
        <v>236</v>
      </c>
      <c r="Q158" s="4" t="s">
        <v>173</v>
      </c>
      <c r="R158" s="4">
        <v>7.4</v>
      </c>
      <c r="S158" s="4">
        <v>2189</v>
      </c>
      <c r="V158" s="4" t="s">
        <v>236</v>
      </c>
      <c r="W158" s="4" t="s">
        <v>173</v>
      </c>
      <c r="X158" s="4">
        <v>9.51</v>
      </c>
      <c r="Y158" s="4">
        <v>2041</v>
      </c>
      <c r="AB158" s="4" t="s">
        <v>236</v>
      </c>
      <c r="AC158" s="4" t="s">
        <v>173</v>
      </c>
      <c r="AD158" s="4">
        <v>6.32</v>
      </c>
      <c r="AE158" s="4">
        <v>2494</v>
      </c>
      <c r="AH158" s="4" t="s">
        <v>236</v>
      </c>
      <c r="AK158" s="4" t="s">
        <v>180</v>
      </c>
    </row>
    <row r="159" spans="1:37" x14ac:dyDescent="0.2">
      <c r="A159" s="34">
        <v>38</v>
      </c>
      <c r="B159" s="12" t="s">
        <v>88</v>
      </c>
      <c r="C159" s="5" t="s">
        <v>238</v>
      </c>
      <c r="D159" s="4" t="s">
        <v>236</v>
      </c>
      <c r="E159" s="11" t="s">
        <v>173</v>
      </c>
      <c r="F159" s="33">
        <v>5.8</v>
      </c>
      <c r="G159" s="28">
        <v>2784</v>
      </c>
      <c r="J159" s="4" t="s">
        <v>236</v>
      </c>
      <c r="K159" s="4" t="s">
        <v>173</v>
      </c>
      <c r="L159" s="4">
        <v>11.25</v>
      </c>
      <c r="M159" s="4">
        <v>2984</v>
      </c>
      <c r="P159" s="4" t="s">
        <v>236</v>
      </c>
      <c r="Q159" s="4" t="s">
        <v>175</v>
      </c>
      <c r="R159" s="4">
        <v>9.31</v>
      </c>
      <c r="S159" s="4">
        <v>2264</v>
      </c>
      <c r="V159" s="4" t="s">
        <v>236</v>
      </c>
      <c r="W159" s="4" t="s">
        <v>173</v>
      </c>
      <c r="X159" s="4">
        <v>10.31</v>
      </c>
      <c r="Y159" s="4">
        <v>2025</v>
      </c>
      <c r="AB159" s="4" t="s">
        <v>236</v>
      </c>
      <c r="AC159" s="4" t="s">
        <v>173</v>
      </c>
      <c r="AD159" s="4">
        <v>8.4600000000000009</v>
      </c>
      <c r="AE159" s="4">
        <v>2540</v>
      </c>
      <c r="AH159" s="4" t="s">
        <v>236</v>
      </c>
      <c r="AK159" s="4" t="s">
        <v>180</v>
      </c>
    </row>
    <row r="160" spans="1:37" x14ac:dyDescent="0.2">
      <c r="A160" s="34">
        <v>39</v>
      </c>
      <c r="B160" s="12" t="s">
        <v>89</v>
      </c>
      <c r="C160" s="5" t="s">
        <v>238</v>
      </c>
      <c r="D160" s="4" t="s">
        <v>236</v>
      </c>
      <c r="E160" s="11" t="s">
        <v>173</v>
      </c>
      <c r="F160" s="33">
        <v>5.07</v>
      </c>
      <c r="G160" s="28">
        <v>2616</v>
      </c>
      <c r="J160" s="4" t="s">
        <v>236</v>
      </c>
      <c r="K160" s="4" t="s">
        <v>173</v>
      </c>
      <c r="L160" s="4">
        <v>12.98</v>
      </c>
      <c r="M160" s="4">
        <v>3182</v>
      </c>
      <c r="P160" s="4" t="s">
        <v>236</v>
      </c>
      <c r="Q160" s="4" t="s">
        <v>173</v>
      </c>
      <c r="R160" s="4">
        <v>7.44</v>
      </c>
      <c r="S160" s="4">
        <v>2199</v>
      </c>
      <c r="V160" s="4" t="s">
        <v>236</v>
      </c>
      <c r="W160" s="4" t="s">
        <v>173</v>
      </c>
      <c r="X160" s="4">
        <v>13.49</v>
      </c>
      <c r="Y160" s="4">
        <v>2066</v>
      </c>
      <c r="AB160" s="4" t="s">
        <v>236</v>
      </c>
      <c r="AC160" s="4" t="s">
        <v>173</v>
      </c>
      <c r="AD160" s="4">
        <v>11.03</v>
      </c>
      <c r="AE160" s="4">
        <v>2449</v>
      </c>
      <c r="AH160" s="4" t="s">
        <v>236</v>
      </c>
      <c r="AK160" s="4" t="s">
        <v>180</v>
      </c>
    </row>
    <row r="161" spans="1:37" x14ac:dyDescent="0.2">
      <c r="A161" s="34">
        <v>40</v>
      </c>
      <c r="B161" s="12" t="s">
        <v>87</v>
      </c>
      <c r="C161" s="5" t="s">
        <v>238</v>
      </c>
      <c r="D161" s="4" t="s">
        <v>236</v>
      </c>
      <c r="E161" s="11" t="s">
        <v>173</v>
      </c>
      <c r="F161" s="33">
        <v>9.34</v>
      </c>
      <c r="G161" s="28">
        <v>3374</v>
      </c>
      <c r="J161" s="4" t="s">
        <v>236</v>
      </c>
      <c r="K161" s="4" t="s">
        <v>175</v>
      </c>
      <c r="L161" s="4">
        <v>99.93</v>
      </c>
      <c r="M161" s="4">
        <v>11420</v>
      </c>
      <c r="P161" s="4" t="s">
        <v>236</v>
      </c>
      <c r="Q161" s="4" t="s">
        <v>175</v>
      </c>
      <c r="R161" s="4">
        <v>8.48</v>
      </c>
      <c r="S161" s="4">
        <v>2221</v>
      </c>
      <c r="V161" s="4" t="s">
        <v>236</v>
      </c>
      <c r="W161" s="4" t="s">
        <v>173</v>
      </c>
      <c r="X161" s="4">
        <v>10.33</v>
      </c>
      <c r="Y161" s="4">
        <v>2028</v>
      </c>
      <c r="AB161" s="4" t="s">
        <v>236</v>
      </c>
      <c r="AC161" s="4" t="s">
        <v>175</v>
      </c>
      <c r="AD161" s="4">
        <v>7.59</v>
      </c>
      <c r="AE161" s="4">
        <v>2488</v>
      </c>
      <c r="AH161" s="4" t="s">
        <v>236</v>
      </c>
      <c r="AK161" s="4" t="s">
        <v>180</v>
      </c>
    </row>
    <row r="162" spans="1:37" x14ac:dyDescent="0.2">
      <c r="A162" s="34">
        <v>41</v>
      </c>
      <c r="B162" s="12" t="s">
        <v>77</v>
      </c>
      <c r="C162" s="5" t="s">
        <v>238</v>
      </c>
      <c r="D162" s="4" t="s">
        <v>236</v>
      </c>
      <c r="E162" s="11" t="s">
        <v>173</v>
      </c>
      <c r="F162" s="33">
        <v>5.9</v>
      </c>
      <c r="G162" s="28">
        <v>2816</v>
      </c>
      <c r="J162" s="4" t="s">
        <v>236</v>
      </c>
      <c r="K162" s="4" t="s">
        <v>173</v>
      </c>
      <c r="L162" s="4">
        <v>11.35</v>
      </c>
      <c r="M162" s="4">
        <v>2973</v>
      </c>
      <c r="P162" s="4" t="s">
        <v>236</v>
      </c>
      <c r="Q162" s="4" t="s">
        <v>173</v>
      </c>
      <c r="R162" s="4">
        <v>8.07</v>
      </c>
      <c r="S162" s="4">
        <v>2180</v>
      </c>
      <c r="V162" s="4" t="s">
        <v>236</v>
      </c>
      <c r="W162" s="4" t="s">
        <v>173</v>
      </c>
      <c r="X162" s="4">
        <v>10.11</v>
      </c>
      <c r="Y162" s="4">
        <v>2020</v>
      </c>
      <c r="AB162" s="4" t="s">
        <v>236</v>
      </c>
      <c r="AC162" s="4" t="s">
        <v>173</v>
      </c>
      <c r="AD162" s="4">
        <v>8.61</v>
      </c>
      <c r="AE162" s="4">
        <v>2493</v>
      </c>
      <c r="AH162" s="4" t="s">
        <v>236</v>
      </c>
      <c r="AK162" s="4" t="s">
        <v>180</v>
      </c>
    </row>
    <row r="163" spans="1:37" x14ac:dyDescent="0.2">
      <c r="A163" s="34">
        <v>42</v>
      </c>
      <c r="B163" s="12" t="s">
        <v>90</v>
      </c>
      <c r="C163" s="5" t="s">
        <v>238</v>
      </c>
      <c r="D163" s="4" t="s">
        <v>236</v>
      </c>
      <c r="E163" s="11" t="s">
        <v>173</v>
      </c>
      <c r="F163" s="33">
        <v>6.14</v>
      </c>
      <c r="G163" s="28">
        <v>2739</v>
      </c>
      <c r="J163" s="4" t="s">
        <v>236</v>
      </c>
      <c r="K163" s="4" t="s">
        <v>173</v>
      </c>
      <c r="L163" s="4">
        <v>11.44</v>
      </c>
      <c r="M163" s="4">
        <v>2968</v>
      </c>
      <c r="P163" s="4" t="s">
        <v>236</v>
      </c>
      <c r="Q163" s="4" t="s">
        <v>173</v>
      </c>
      <c r="R163" s="4">
        <v>7.86</v>
      </c>
      <c r="S163" s="4">
        <v>2207</v>
      </c>
      <c r="V163" s="4" t="s">
        <v>236</v>
      </c>
      <c r="W163" s="4" t="s">
        <v>173</v>
      </c>
      <c r="X163" s="4">
        <v>10.62</v>
      </c>
      <c r="Y163" s="4">
        <v>2034</v>
      </c>
      <c r="AB163" s="4" t="s">
        <v>236</v>
      </c>
      <c r="AC163" s="4" t="s">
        <v>173</v>
      </c>
      <c r="AD163" s="4">
        <v>7.96</v>
      </c>
      <c r="AE163" s="4">
        <v>2507</v>
      </c>
      <c r="AH163" s="4" t="s">
        <v>236</v>
      </c>
      <c r="AK163" s="4" t="s">
        <v>180</v>
      </c>
    </row>
    <row r="164" spans="1:37" x14ac:dyDescent="0.2">
      <c r="A164" s="34">
        <v>43</v>
      </c>
      <c r="B164" s="12" t="s">
        <v>91</v>
      </c>
      <c r="C164" s="5" t="s">
        <v>238</v>
      </c>
      <c r="D164" s="4" t="s">
        <v>236</v>
      </c>
      <c r="E164" s="11" t="s">
        <v>173</v>
      </c>
      <c r="F164" s="33">
        <v>6.43</v>
      </c>
      <c r="G164" s="28">
        <v>2817</v>
      </c>
      <c r="J164" s="4" t="s">
        <v>236</v>
      </c>
      <c r="K164" s="4" t="s">
        <v>173</v>
      </c>
      <c r="L164" s="4">
        <v>11.86</v>
      </c>
      <c r="M164" s="4">
        <v>3074</v>
      </c>
      <c r="P164" s="4" t="s">
        <v>236</v>
      </c>
      <c r="Q164" s="4" t="s">
        <v>173</v>
      </c>
      <c r="R164" s="4">
        <v>8.06</v>
      </c>
      <c r="S164" s="4">
        <v>2197</v>
      </c>
      <c r="V164" s="4" t="s">
        <v>236</v>
      </c>
      <c r="W164" s="4" t="s">
        <v>173</v>
      </c>
      <c r="X164" s="4">
        <v>10.52</v>
      </c>
      <c r="Y164" s="4">
        <v>2046</v>
      </c>
      <c r="AB164" s="4" t="s">
        <v>236</v>
      </c>
      <c r="AC164" s="4" t="s">
        <v>173</v>
      </c>
      <c r="AD164" s="4">
        <v>6.56</v>
      </c>
      <c r="AE164" s="4">
        <v>2469</v>
      </c>
      <c r="AH164" s="4" t="s">
        <v>236</v>
      </c>
      <c r="AK164" s="4" t="s">
        <v>180</v>
      </c>
    </row>
    <row r="165" spans="1:37" x14ac:dyDescent="0.2">
      <c r="A165" s="34">
        <v>44</v>
      </c>
      <c r="B165" s="12" t="s">
        <v>90</v>
      </c>
      <c r="C165" s="5" t="s">
        <v>238</v>
      </c>
      <c r="D165" s="4" t="s">
        <v>236</v>
      </c>
      <c r="E165" s="11" t="s">
        <v>173</v>
      </c>
      <c r="F165" s="33">
        <v>7.45</v>
      </c>
      <c r="G165" s="28">
        <v>2777</v>
      </c>
      <c r="J165" s="4" t="s">
        <v>236</v>
      </c>
      <c r="K165" s="4" t="s">
        <v>173</v>
      </c>
      <c r="L165" s="4">
        <v>10.01</v>
      </c>
      <c r="M165" s="4">
        <v>2864</v>
      </c>
      <c r="P165" s="4" t="s">
        <v>236</v>
      </c>
      <c r="Q165" s="4" t="s">
        <v>173</v>
      </c>
      <c r="R165" s="4">
        <v>7.25</v>
      </c>
      <c r="S165" s="4">
        <v>2181</v>
      </c>
      <c r="V165" s="4" t="s">
        <v>236</v>
      </c>
      <c r="W165" s="4" t="s">
        <v>175</v>
      </c>
      <c r="X165" s="4">
        <v>22.2</v>
      </c>
      <c r="Y165" s="4">
        <v>2093</v>
      </c>
      <c r="AB165" s="4" t="s">
        <v>236</v>
      </c>
      <c r="AC165" s="4" t="s">
        <v>173</v>
      </c>
      <c r="AD165" s="4">
        <v>6.69</v>
      </c>
      <c r="AE165" s="4">
        <v>2497</v>
      </c>
      <c r="AH165" s="4" t="s">
        <v>236</v>
      </c>
      <c r="AK165" s="4" t="s">
        <v>180</v>
      </c>
    </row>
    <row r="166" spans="1:37" x14ac:dyDescent="0.2">
      <c r="A166" s="34">
        <v>45</v>
      </c>
      <c r="B166" s="12" t="s">
        <v>92</v>
      </c>
      <c r="C166" s="5" t="s">
        <v>238</v>
      </c>
      <c r="D166" s="4" t="s">
        <v>236</v>
      </c>
      <c r="E166" s="11" t="s">
        <v>173</v>
      </c>
      <c r="F166" s="33">
        <v>8.07</v>
      </c>
      <c r="G166" s="28">
        <v>2932</v>
      </c>
      <c r="J166" s="4" t="s">
        <v>236</v>
      </c>
      <c r="K166" s="4" t="s">
        <v>173</v>
      </c>
      <c r="L166" s="4">
        <v>12.06</v>
      </c>
      <c r="M166" s="4">
        <v>3063</v>
      </c>
      <c r="P166" s="4" t="s">
        <v>236</v>
      </c>
      <c r="Q166" s="4" t="s">
        <v>173</v>
      </c>
      <c r="R166" s="4">
        <v>7.3</v>
      </c>
      <c r="S166" s="4">
        <v>2190</v>
      </c>
      <c r="V166" s="4" t="s">
        <v>236</v>
      </c>
      <c r="W166" s="4" t="s">
        <v>175</v>
      </c>
      <c r="X166" s="4">
        <v>11.96</v>
      </c>
      <c r="Y166" s="4">
        <v>2121</v>
      </c>
      <c r="AB166" s="4" t="s">
        <v>236</v>
      </c>
      <c r="AC166" s="4" t="s">
        <v>175</v>
      </c>
      <c r="AD166" s="4">
        <v>9.48</v>
      </c>
      <c r="AE166" s="4">
        <v>2592</v>
      </c>
      <c r="AH166" s="4" t="s">
        <v>236</v>
      </c>
      <c r="AK166" s="4" t="s">
        <v>180</v>
      </c>
    </row>
    <row r="167" spans="1:37" x14ac:dyDescent="0.2">
      <c r="A167" s="34">
        <v>46</v>
      </c>
      <c r="B167" s="12" t="s">
        <v>93</v>
      </c>
      <c r="C167" s="5" t="s">
        <v>238</v>
      </c>
      <c r="D167" s="4" t="s">
        <v>236</v>
      </c>
      <c r="E167" s="11" t="s">
        <v>173</v>
      </c>
      <c r="F167" s="33">
        <v>15.84</v>
      </c>
      <c r="G167" s="28">
        <v>3893</v>
      </c>
      <c r="J167" s="4" t="s">
        <v>236</v>
      </c>
      <c r="K167" s="4" t="s">
        <v>173</v>
      </c>
      <c r="L167" s="4">
        <v>14.83</v>
      </c>
      <c r="M167" s="4">
        <v>3390</v>
      </c>
      <c r="P167" s="4" t="s">
        <v>236</v>
      </c>
      <c r="Q167" s="4" t="s">
        <v>173</v>
      </c>
      <c r="R167" s="4">
        <v>6.89</v>
      </c>
      <c r="S167" s="4">
        <v>2203</v>
      </c>
      <c r="V167" s="4" t="s">
        <v>236</v>
      </c>
      <c r="W167" s="4" t="s">
        <v>173</v>
      </c>
      <c r="X167" s="4">
        <v>12.06</v>
      </c>
      <c r="Y167" s="4">
        <v>2045</v>
      </c>
      <c r="AB167" s="4" t="s">
        <v>236</v>
      </c>
      <c r="AC167" s="4" t="s">
        <v>173</v>
      </c>
      <c r="AD167" s="4">
        <v>8.35</v>
      </c>
      <c r="AE167" s="4">
        <v>2478</v>
      </c>
      <c r="AH167" s="4" t="s">
        <v>236</v>
      </c>
      <c r="AK167" s="4" t="s">
        <v>180</v>
      </c>
    </row>
    <row r="168" spans="1:37" x14ac:dyDescent="0.2">
      <c r="A168" s="34">
        <v>47</v>
      </c>
      <c r="B168" s="12" t="s">
        <v>94</v>
      </c>
      <c r="C168" s="5" t="s">
        <v>239</v>
      </c>
      <c r="D168" s="4" t="s">
        <v>236</v>
      </c>
      <c r="E168" s="11" t="s">
        <v>173</v>
      </c>
      <c r="F168" s="33">
        <v>10.72</v>
      </c>
      <c r="G168" s="28">
        <v>3711</v>
      </c>
      <c r="J168" s="4" t="s">
        <v>236</v>
      </c>
      <c r="K168" s="4" t="s">
        <v>173</v>
      </c>
      <c r="L168" s="4">
        <v>20.2</v>
      </c>
      <c r="M168" s="4">
        <v>4051</v>
      </c>
      <c r="P168" s="4" t="s">
        <v>236</v>
      </c>
      <c r="Q168" s="4" t="s">
        <v>175</v>
      </c>
      <c r="R168" s="4">
        <v>13.9</v>
      </c>
      <c r="S168" s="4">
        <v>2453</v>
      </c>
      <c r="V168" s="4" t="s">
        <v>236</v>
      </c>
      <c r="W168" s="4" t="s">
        <v>175</v>
      </c>
      <c r="X168" s="4">
        <v>21.69</v>
      </c>
      <c r="Y168" s="4">
        <v>2340</v>
      </c>
      <c r="AB168" s="4" t="s">
        <v>236</v>
      </c>
      <c r="AC168" s="4" t="s">
        <v>175</v>
      </c>
      <c r="AD168" s="4">
        <v>10.51</v>
      </c>
      <c r="AE168" s="4">
        <v>2707</v>
      </c>
      <c r="AH168" s="4" t="s">
        <v>236</v>
      </c>
      <c r="AK168" s="4" t="s">
        <v>180</v>
      </c>
    </row>
    <row r="169" spans="1:37" x14ac:dyDescent="0.2">
      <c r="A169" s="34">
        <v>48</v>
      </c>
      <c r="B169" s="12" t="s">
        <v>95</v>
      </c>
      <c r="C169" s="5" t="s">
        <v>239</v>
      </c>
      <c r="D169" s="4" t="s">
        <v>236</v>
      </c>
      <c r="E169" s="11" t="s">
        <v>173</v>
      </c>
      <c r="F169" s="33">
        <v>18.43</v>
      </c>
      <c r="G169" s="28">
        <v>4381</v>
      </c>
      <c r="J169" s="4" t="s">
        <v>236</v>
      </c>
      <c r="K169" s="4" t="s">
        <v>173</v>
      </c>
      <c r="L169" s="4">
        <v>29.53</v>
      </c>
      <c r="M169" s="4">
        <v>4993</v>
      </c>
      <c r="P169" s="4" t="s">
        <v>236</v>
      </c>
      <c r="Q169" s="4" t="s">
        <v>175</v>
      </c>
      <c r="R169" s="4">
        <v>15.04</v>
      </c>
      <c r="S169" s="4">
        <v>2470</v>
      </c>
      <c r="V169" s="4" t="s">
        <v>236</v>
      </c>
      <c r="W169" s="4" t="s">
        <v>175</v>
      </c>
      <c r="X169" s="4">
        <v>13.7</v>
      </c>
      <c r="Y169" s="4">
        <v>2250</v>
      </c>
      <c r="AB169" s="4" t="s">
        <v>236</v>
      </c>
      <c r="AC169" s="4" t="s">
        <v>175</v>
      </c>
      <c r="AD169" s="4">
        <v>11.74</v>
      </c>
      <c r="AE169" s="4">
        <v>2747</v>
      </c>
      <c r="AH169" s="4" t="s">
        <v>236</v>
      </c>
      <c r="AK169" s="4" t="s">
        <v>180</v>
      </c>
    </row>
    <row r="170" spans="1:37" x14ac:dyDescent="0.2">
      <c r="A170" s="34">
        <v>49</v>
      </c>
      <c r="B170" s="12" t="s">
        <v>96</v>
      </c>
      <c r="C170" s="5" t="s">
        <v>239</v>
      </c>
      <c r="D170" s="4" t="s">
        <v>236</v>
      </c>
      <c r="E170" s="11" t="s">
        <v>173</v>
      </c>
      <c r="F170" s="33">
        <v>10.44</v>
      </c>
      <c r="G170" s="28">
        <v>3524</v>
      </c>
      <c r="J170" s="4" t="s">
        <v>236</v>
      </c>
      <c r="K170" s="4" t="s">
        <v>173</v>
      </c>
      <c r="L170" s="4">
        <v>29.57</v>
      </c>
      <c r="M170" s="4">
        <v>4869</v>
      </c>
      <c r="P170" s="4" t="s">
        <v>236</v>
      </c>
      <c r="Q170" s="4" t="s">
        <v>175</v>
      </c>
      <c r="R170" s="4">
        <v>14.21</v>
      </c>
      <c r="S170" s="4">
        <v>2430</v>
      </c>
      <c r="V170" s="4" t="s">
        <v>236</v>
      </c>
      <c r="W170" s="4" t="s">
        <v>175</v>
      </c>
      <c r="X170" s="4">
        <v>16.05</v>
      </c>
      <c r="Y170" s="4">
        <v>2298</v>
      </c>
      <c r="AB170" s="4" t="s">
        <v>236</v>
      </c>
      <c r="AC170" s="4" t="s">
        <v>175</v>
      </c>
      <c r="AD170" s="4">
        <v>11.12</v>
      </c>
      <c r="AE170" s="4">
        <v>2724</v>
      </c>
      <c r="AH170" s="4" t="s">
        <v>236</v>
      </c>
      <c r="AK170" s="4" t="s">
        <v>180</v>
      </c>
    </row>
    <row r="171" spans="1:37" x14ac:dyDescent="0.2">
      <c r="A171" s="34">
        <v>50</v>
      </c>
      <c r="B171" s="12" t="s">
        <v>97</v>
      </c>
      <c r="C171" s="5" t="s">
        <v>239</v>
      </c>
      <c r="D171" s="4" t="s">
        <v>236</v>
      </c>
      <c r="E171" s="11" t="s">
        <v>173</v>
      </c>
      <c r="F171" s="33">
        <v>15.99</v>
      </c>
      <c r="G171" s="28">
        <v>4653</v>
      </c>
      <c r="J171" s="4" t="s">
        <v>236</v>
      </c>
      <c r="K171" s="4" t="s">
        <v>173</v>
      </c>
      <c r="L171" s="4">
        <v>34.03</v>
      </c>
      <c r="M171" s="4">
        <v>5221</v>
      </c>
      <c r="P171" s="4" t="s">
        <v>236</v>
      </c>
      <c r="Q171" s="4" t="s">
        <v>175</v>
      </c>
      <c r="R171" s="4">
        <v>12.77</v>
      </c>
      <c r="S171" s="4">
        <v>2414</v>
      </c>
      <c r="V171" s="4" t="s">
        <v>236</v>
      </c>
      <c r="W171" s="4" t="s">
        <v>175</v>
      </c>
      <c r="X171" s="4">
        <v>21.37</v>
      </c>
      <c r="Y171" s="4">
        <v>2218</v>
      </c>
      <c r="AB171" s="4" t="s">
        <v>236</v>
      </c>
      <c r="AC171" s="4" t="s">
        <v>175</v>
      </c>
      <c r="AD171" s="4">
        <v>11.23</v>
      </c>
      <c r="AE171" s="4">
        <v>2742</v>
      </c>
      <c r="AH171" s="4" t="s">
        <v>236</v>
      </c>
      <c r="AK171" s="4" t="s">
        <v>180</v>
      </c>
    </row>
    <row r="172" spans="1:37" x14ac:dyDescent="0.2">
      <c r="A172" s="34">
        <v>51</v>
      </c>
      <c r="B172" s="12" t="s">
        <v>98</v>
      </c>
      <c r="C172" s="5" t="s">
        <v>239</v>
      </c>
      <c r="D172" s="4" t="s">
        <v>236</v>
      </c>
      <c r="E172" s="11" t="s">
        <v>173</v>
      </c>
      <c r="F172" s="33">
        <v>33.03</v>
      </c>
      <c r="G172" s="28">
        <v>7696</v>
      </c>
      <c r="J172" s="4" t="s">
        <v>236</v>
      </c>
      <c r="K172" s="4" t="s">
        <v>173</v>
      </c>
      <c r="L172" s="4">
        <v>24.58</v>
      </c>
      <c r="M172" s="4">
        <v>4544</v>
      </c>
      <c r="P172" s="4" t="s">
        <v>236</v>
      </c>
      <c r="Q172" s="4" t="s">
        <v>175</v>
      </c>
      <c r="R172" s="4">
        <v>11.76</v>
      </c>
      <c r="S172" s="4">
        <v>2402</v>
      </c>
      <c r="V172" s="4" t="s">
        <v>236</v>
      </c>
      <c r="W172" s="4" t="s">
        <v>175</v>
      </c>
      <c r="X172" s="4">
        <v>15.57</v>
      </c>
      <c r="Y172" s="4">
        <v>2267</v>
      </c>
      <c r="AB172" s="4" t="s">
        <v>236</v>
      </c>
      <c r="AC172" s="4" t="s">
        <v>175</v>
      </c>
      <c r="AD172" s="4">
        <v>11.84</v>
      </c>
      <c r="AE172" s="4">
        <v>2766</v>
      </c>
      <c r="AH172" s="4" t="s">
        <v>236</v>
      </c>
      <c r="AK172" s="4" t="s">
        <v>180</v>
      </c>
    </row>
    <row r="173" spans="1:37" x14ac:dyDescent="0.2">
      <c r="A173" s="34">
        <v>52</v>
      </c>
      <c r="B173" s="12" t="s">
        <v>99</v>
      </c>
      <c r="C173" s="5" t="s">
        <v>240</v>
      </c>
      <c r="D173" s="4" t="s">
        <v>236</v>
      </c>
      <c r="E173" s="11" t="s">
        <v>173</v>
      </c>
      <c r="F173" s="33">
        <v>8.5500000000000007</v>
      </c>
      <c r="G173" s="28">
        <v>3237</v>
      </c>
      <c r="J173" s="4" t="s">
        <v>236</v>
      </c>
      <c r="K173" s="4" t="s">
        <v>173</v>
      </c>
      <c r="L173" s="4">
        <v>16.739999999999998</v>
      </c>
      <c r="M173" s="4">
        <v>3572</v>
      </c>
      <c r="P173" s="4" t="s">
        <v>236</v>
      </c>
      <c r="Q173" s="4" t="s">
        <v>175</v>
      </c>
      <c r="R173" s="4">
        <v>10.33</v>
      </c>
      <c r="S173" s="4">
        <v>2281</v>
      </c>
      <c r="V173" s="4" t="s">
        <v>236</v>
      </c>
      <c r="W173" s="4" t="s">
        <v>173</v>
      </c>
      <c r="X173" s="4">
        <v>11.94</v>
      </c>
      <c r="Y173" s="4">
        <v>2068</v>
      </c>
      <c r="AB173" s="4" t="s">
        <v>236</v>
      </c>
      <c r="AC173" s="4" t="s">
        <v>173</v>
      </c>
      <c r="AD173" s="4">
        <v>13.28</v>
      </c>
      <c r="AE173" s="4">
        <v>2452</v>
      </c>
      <c r="AH173" s="4" t="s">
        <v>236</v>
      </c>
      <c r="AK173" s="4" t="s">
        <v>180</v>
      </c>
    </row>
    <row r="174" spans="1:37" x14ac:dyDescent="0.2">
      <c r="A174" s="34">
        <v>53</v>
      </c>
      <c r="B174" s="12" t="s">
        <v>100</v>
      </c>
      <c r="C174" s="5" t="s">
        <v>240</v>
      </c>
      <c r="D174" s="4" t="s">
        <v>236</v>
      </c>
      <c r="E174" s="11" t="s">
        <v>173</v>
      </c>
      <c r="F174" s="33">
        <v>5.99</v>
      </c>
      <c r="G174" s="28">
        <v>2809</v>
      </c>
      <c r="J174" s="4" t="s">
        <v>236</v>
      </c>
      <c r="K174" s="4" t="s">
        <v>173</v>
      </c>
      <c r="L174" s="4">
        <v>12.31</v>
      </c>
      <c r="M174" s="4">
        <v>3204</v>
      </c>
      <c r="P174" s="4" t="s">
        <v>236</v>
      </c>
      <c r="Q174" s="4" t="s">
        <v>173</v>
      </c>
      <c r="R174" s="4">
        <v>7.46</v>
      </c>
      <c r="S174" s="4">
        <v>2205</v>
      </c>
      <c r="V174" s="4" t="s">
        <v>236</v>
      </c>
      <c r="W174" s="4" t="s">
        <v>173</v>
      </c>
      <c r="X174" s="4">
        <v>8.48</v>
      </c>
      <c r="Y174" s="4">
        <v>2023</v>
      </c>
      <c r="AB174" s="4" t="s">
        <v>236</v>
      </c>
      <c r="AC174" s="4" t="s">
        <v>173</v>
      </c>
      <c r="AD174" s="4">
        <v>11.03</v>
      </c>
      <c r="AE174" s="4">
        <v>2467</v>
      </c>
      <c r="AH174" s="4" t="s">
        <v>236</v>
      </c>
      <c r="AK174" s="4" t="s">
        <v>180</v>
      </c>
    </row>
    <row r="175" spans="1:37" x14ac:dyDescent="0.2">
      <c r="A175" s="34">
        <v>54</v>
      </c>
      <c r="B175" s="12" t="s">
        <v>101</v>
      </c>
      <c r="C175" s="5" t="s">
        <v>240</v>
      </c>
      <c r="D175" s="4" t="s">
        <v>236</v>
      </c>
      <c r="E175" s="11" t="s">
        <v>173</v>
      </c>
      <c r="F175" s="33">
        <v>11.59</v>
      </c>
      <c r="G175" s="28">
        <v>3727</v>
      </c>
      <c r="J175" s="4" t="s">
        <v>236</v>
      </c>
      <c r="K175" s="4" t="s">
        <v>173</v>
      </c>
      <c r="L175" s="4">
        <v>17.489999999999998</v>
      </c>
      <c r="M175" s="4">
        <v>3685</v>
      </c>
      <c r="P175" s="4" t="s">
        <v>236</v>
      </c>
      <c r="Q175" s="4" t="s">
        <v>173</v>
      </c>
      <c r="R175" s="4">
        <v>7.98</v>
      </c>
      <c r="S175" s="4">
        <v>2213</v>
      </c>
      <c r="V175" s="4" t="s">
        <v>236</v>
      </c>
      <c r="W175" s="4" t="s">
        <v>173</v>
      </c>
      <c r="X175" s="4">
        <v>10.63</v>
      </c>
      <c r="Y175" s="4">
        <v>2058</v>
      </c>
      <c r="AB175" s="4" t="s">
        <v>236</v>
      </c>
      <c r="AC175" s="4" t="s">
        <v>173</v>
      </c>
      <c r="AD175" s="4">
        <v>6.41</v>
      </c>
      <c r="AE175" s="4">
        <v>2444</v>
      </c>
      <c r="AH175" s="4" t="s">
        <v>236</v>
      </c>
      <c r="AK175" s="4" t="s">
        <v>180</v>
      </c>
    </row>
    <row r="176" spans="1:37" x14ac:dyDescent="0.2">
      <c r="A176" s="34">
        <v>55</v>
      </c>
      <c r="B176" s="12" t="s">
        <v>101</v>
      </c>
      <c r="C176" s="5" t="s">
        <v>240</v>
      </c>
      <c r="D176" s="4" t="s">
        <v>236</v>
      </c>
      <c r="E176" s="11" t="s">
        <v>173</v>
      </c>
      <c r="F176" s="33">
        <v>7.16</v>
      </c>
      <c r="G176" s="28">
        <v>2898</v>
      </c>
      <c r="J176" s="4" t="s">
        <v>236</v>
      </c>
      <c r="K176" s="4" t="s">
        <v>175</v>
      </c>
      <c r="L176" s="4">
        <v>13.71</v>
      </c>
      <c r="M176" s="4">
        <v>0</v>
      </c>
      <c r="P176" s="4" t="s">
        <v>236</v>
      </c>
      <c r="Q176" s="4" t="s">
        <v>173</v>
      </c>
      <c r="R176" s="4">
        <v>7.14</v>
      </c>
      <c r="S176" s="4">
        <v>2199</v>
      </c>
      <c r="V176" s="4" t="s">
        <v>236</v>
      </c>
      <c r="W176" s="4" t="s">
        <v>173</v>
      </c>
      <c r="X176" s="4">
        <v>10.119999999999999</v>
      </c>
      <c r="Y176" s="4">
        <v>2048</v>
      </c>
      <c r="AB176" s="4" t="s">
        <v>236</v>
      </c>
      <c r="AC176" s="4" t="s">
        <v>173</v>
      </c>
      <c r="AD176" s="4">
        <v>7.96</v>
      </c>
      <c r="AE176" s="4">
        <v>2491</v>
      </c>
      <c r="AH176" s="4" t="s">
        <v>236</v>
      </c>
      <c r="AK176" s="4" t="s">
        <v>180</v>
      </c>
    </row>
    <row r="177" spans="1:37" x14ac:dyDescent="0.2">
      <c r="A177" s="34">
        <v>56</v>
      </c>
      <c r="B177" s="12" t="s">
        <v>102</v>
      </c>
      <c r="C177" s="5" t="s">
        <v>241</v>
      </c>
      <c r="D177" s="4" t="s">
        <v>236</v>
      </c>
      <c r="E177" s="11" t="s">
        <v>173</v>
      </c>
      <c r="F177" s="33">
        <v>9.7200000000000006</v>
      </c>
      <c r="G177" s="28">
        <v>3566</v>
      </c>
      <c r="J177" s="4" t="s">
        <v>236</v>
      </c>
      <c r="K177" s="4" t="s">
        <v>173</v>
      </c>
      <c r="L177" s="4">
        <v>28.14</v>
      </c>
      <c r="M177" s="4">
        <v>4685</v>
      </c>
      <c r="P177" s="4" t="s">
        <v>236</v>
      </c>
      <c r="Q177" s="4" t="s">
        <v>173</v>
      </c>
      <c r="R177" s="4">
        <v>7.66</v>
      </c>
      <c r="S177" s="4">
        <v>2225</v>
      </c>
      <c r="V177" s="4" t="s">
        <v>236</v>
      </c>
      <c r="W177" s="4" t="s">
        <v>175</v>
      </c>
      <c r="X177" s="4">
        <v>12.36</v>
      </c>
      <c r="Y177" s="4">
        <v>2126</v>
      </c>
      <c r="AB177" s="4" t="s">
        <v>236</v>
      </c>
      <c r="AC177" s="4" t="s">
        <v>175</v>
      </c>
      <c r="AD177" s="4">
        <v>7.44</v>
      </c>
      <c r="AE177" s="4">
        <v>2519</v>
      </c>
      <c r="AH177" s="4" t="s">
        <v>236</v>
      </c>
      <c r="AK177" s="4" t="s">
        <v>180</v>
      </c>
    </row>
    <row r="178" spans="1:37" x14ac:dyDescent="0.2">
      <c r="A178" s="34">
        <v>57</v>
      </c>
      <c r="B178" s="12" t="s">
        <v>103</v>
      </c>
      <c r="C178" s="5" t="s">
        <v>241</v>
      </c>
      <c r="D178" s="4" t="s">
        <v>236</v>
      </c>
      <c r="E178" s="11" t="s">
        <v>173</v>
      </c>
      <c r="F178" s="33">
        <v>11.74</v>
      </c>
      <c r="G178" s="28">
        <v>3711</v>
      </c>
      <c r="J178" s="4" t="s">
        <v>236</v>
      </c>
      <c r="K178" s="4" t="s">
        <v>173</v>
      </c>
      <c r="L178" s="4">
        <v>14.52</v>
      </c>
      <c r="M178" s="4">
        <v>3445</v>
      </c>
      <c r="P178" s="4" t="s">
        <v>236</v>
      </c>
      <c r="Q178" s="4" t="s">
        <v>173</v>
      </c>
      <c r="R178" s="4">
        <v>7.25</v>
      </c>
      <c r="S178" s="4">
        <v>2213</v>
      </c>
      <c r="V178" s="4" t="s">
        <v>236</v>
      </c>
      <c r="W178" s="4" t="s">
        <v>173</v>
      </c>
      <c r="X178" s="4">
        <v>10.11</v>
      </c>
      <c r="Y178" s="4">
        <v>2076</v>
      </c>
      <c r="AB178" s="4" t="s">
        <v>236</v>
      </c>
      <c r="AC178" s="4" t="s">
        <v>175</v>
      </c>
      <c r="AD178" s="4">
        <v>12.96</v>
      </c>
      <c r="AE178" s="4">
        <v>2843</v>
      </c>
      <c r="AH178" s="4" t="s">
        <v>236</v>
      </c>
      <c r="AK178" s="4" t="s">
        <v>180</v>
      </c>
    </row>
    <row r="179" spans="1:37" x14ac:dyDescent="0.2">
      <c r="A179" s="34">
        <v>58</v>
      </c>
      <c r="B179" s="12" t="s">
        <v>104</v>
      </c>
      <c r="C179" s="5" t="s">
        <v>241</v>
      </c>
      <c r="D179" s="4" t="s">
        <v>236</v>
      </c>
      <c r="E179" s="11" t="s">
        <v>173</v>
      </c>
      <c r="F179" s="33">
        <v>7.77</v>
      </c>
      <c r="G179" s="28">
        <v>2934</v>
      </c>
      <c r="J179" s="4" t="s">
        <v>236</v>
      </c>
      <c r="K179" s="4" t="s">
        <v>173</v>
      </c>
      <c r="L179" s="4">
        <v>15.34</v>
      </c>
      <c r="M179" s="4">
        <v>3436</v>
      </c>
      <c r="P179" s="4" t="s">
        <v>236</v>
      </c>
      <c r="Q179" s="4" t="s">
        <v>173</v>
      </c>
      <c r="R179" s="4">
        <v>6.63</v>
      </c>
      <c r="S179" s="4">
        <v>2211</v>
      </c>
      <c r="V179" s="4" t="s">
        <v>236</v>
      </c>
      <c r="W179" s="4" t="s">
        <v>173</v>
      </c>
      <c r="X179" s="4">
        <v>10.73</v>
      </c>
      <c r="Y179" s="4">
        <v>2039</v>
      </c>
      <c r="AB179" s="4" t="s">
        <v>236</v>
      </c>
      <c r="AC179" s="4" t="s">
        <v>173</v>
      </c>
      <c r="AD179" s="4">
        <v>8.36</v>
      </c>
      <c r="AE179" s="4">
        <v>2535</v>
      </c>
      <c r="AH179" s="4" t="s">
        <v>236</v>
      </c>
      <c r="AK179" s="4" t="s">
        <v>180</v>
      </c>
    </row>
    <row r="180" spans="1:37" x14ac:dyDescent="0.2">
      <c r="A180" s="34">
        <v>59</v>
      </c>
      <c r="B180" s="12" t="s">
        <v>105</v>
      </c>
      <c r="C180" s="5" t="s">
        <v>241</v>
      </c>
      <c r="D180" s="4" t="s">
        <v>236</v>
      </c>
      <c r="E180" s="11" t="s">
        <v>173</v>
      </c>
      <c r="F180" s="33">
        <v>7.35</v>
      </c>
      <c r="G180" s="28">
        <v>2914</v>
      </c>
      <c r="J180" s="4" t="s">
        <v>236</v>
      </c>
      <c r="K180" s="4" t="s">
        <v>173</v>
      </c>
      <c r="L180" s="4">
        <v>12.06</v>
      </c>
      <c r="M180" s="4">
        <v>2998</v>
      </c>
      <c r="P180" s="4" t="s">
        <v>236</v>
      </c>
      <c r="Q180" s="4" t="s">
        <v>175</v>
      </c>
      <c r="R180" s="4">
        <v>10.71</v>
      </c>
      <c r="S180" s="4">
        <v>2298</v>
      </c>
      <c r="V180" s="4" t="s">
        <v>236</v>
      </c>
      <c r="W180" s="4" t="s">
        <v>175</v>
      </c>
      <c r="X180" s="4">
        <v>13.69</v>
      </c>
      <c r="Y180" s="4">
        <v>2094</v>
      </c>
      <c r="AB180" s="4" t="s">
        <v>236</v>
      </c>
      <c r="AC180" s="4" t="s">
        <v>173</v>
      </c>
      <c r="AD180" s="4">
        <v>7.84</v>
      </c>
      <c r="AE180" s="4">
        <v>2490</v>
      </c>
      <c r="AH180" s="4" t="s">
        <v>236</v>
      </c>
      <c r="AK180" s="4" t="s">
        <v>180</v>
      </c>
    </row>
    <row r="181" spans="1:37" x14ac:dyDescent="0.2">
      <c r="A181" s="34">
        <v>60</v>
      </c>
      <c r="B181" s="12" t="s">
        <v>102</v>
      </c>
      <c r="C181" s="5" t="s">
        <v>241</v>
      </c>
      <c r="D181" s="4" t="s">
        <v>236</v>
      </c>
      <c r="E181" s="11" t="s">
        <v>173</v>
      </c>
      <c r="F181" s="33">
        <v>8.99</v>
      </c>
      <c r="G181" s="28">
        <v>3335</v>
      </c>
      <c r="J181" s="4" t="s">
        <v>236</v>
      </c>
      <c r="K181" s="4" t="s">
        <v>173</v>
      </c>
      <c r="L181" s="4">
        <v>16.86</v>
      </c>
      <c r="M181" s="4">
        <v>3651</v>
      </c>
      <c r="P181" s="4" t="s">
        <v>236</v>
      </c>
      <c r="Q181" s="4" t="s">
        <v>173</v>
      </c>
      <c r="R181" s="4">
        <v>7.57</v>
      </c>
      <c r="S181" s="4">
        <v>2240</v>
      </c>
      <c r="V181" s="4" t="s">
        <v>236</v>
      </c>
      <c r="W181" s="4" t="s">
        <v>173</v>
      </c>
      <c r="X181" s="4">
        <v>10.32</v>
      </c>
      <c r="Y181" s="4">
        <v>2057</v>
      </c>
      <c r="AB181" s="4" t="s">
        <v>236</v>
      </c>
      <c r="AC181" s="4" t="s">
        <v>173</v>
      </c>
      <c r="AD181" s="4">
        <v>7.34</v>
      </c>
      <c r="AE181" s="4">
        <v>2490</v>
      </c>
      <c r="AH181" s="4" t="s">
        <v>236</v>
      </c>
      <c r="AK181" s="4" t="s">
        <v>180</v>
      </c>
    </row>
    <row r="182" spans="1:37" x14ac:dyDescent="0.2">
      <c r="A182" s="34">
        <v>61</v>
      </c>
      <c r="B182" s="12" t="s">
        <v>106</v>
      </c>
      <c r="C182" s="5" t="s">
        <v>241</v>
      </c>
      <c r="D182" s="4" t="s">
        <v>236</v>
      </c>
      <c r="E182" s="11" t="s">
        <v>173</v>
      </c>
      <c r="F182" s="28">
        <v>8.92</v>
      </c>
      <c r="G182" s="28">
        <v>3227</v>
      </c>
      <c r="J182" s="4" t="s">
        <v>236</v>
      </c>
      <c r="K182" s="4" t="s">
        <v>173</v>
      </c>
      <c r="L182" s="4">
        <v>12.88</v>
      </c>
      <c r="M182" s="4">
        <v>3220</v>
      </c>
      <c r="P182" s="4" t="s">
        <v>236</v>
      </c>
      <c r="Q182" s="4" t="s">
        <v>173</v>
      </c>
      <c r="R182" s="4">
        <v>6.42</v>
      </c>
      <c r="S182" s="4">
        <v>2200</v>
      </c>
      <c r="V182" s="4" t="s">
        <v>236</v>
      </c>
      <c r="W182" s="4" t="s">
        <v>175</v>
      </c>
      <c r="X182" s="4">
        <v>15.34</v>
      </c>
      <c r="Y182" s="4">
        <v>2144</v>
      </c>
      <c r="AB182" s="4" t="s">
        <v>236</v>
      </c>
      <c r="AC182" s="4" t="s">
        <v>173</v>
      </c>
      <c r="AD182" s="4">
        <v>7.54</v>
      </c>
      <c r="AE182" s="4">
        <v>2478</v>
      </c>
      <c r="AH182" s="4" t="s">
        <v>236</v>
      </c>
      <c r="AK182" s="4" t="s">
        <v>180</v>
      </c>
    </row>
    <row r="185" spans="1:37" x14ac:dyDescent="0.2">
      <c r="A185" s="24" t="s">
        <v>242</v>
      </c>
      <c r="D185" s="37" t="s">
        <v>222</v>
      </c>
      <c r="E185" s="38"/>
      <c r="F185" s="38"/>
      <c r="G185" s="39"/>
      <c r="H185" s="13"/>
      <c r="J185" s="37" t="s">
        <v>223</v>
      </c>
      <c r="K185" s="38"/>
      <c r="L185" s="38"/>
      <c r="M185" s="39"/>
      <c r="N185" s="13"/>
      <c r="P185" s="37" t="s">
        <v>224</v>
      </c>
      <c r="Q185" s="38"/>
      <c r="R185" s="38"/>
      <c r="S185" s="39"/>
      <c r="T185" s="13"/>
      <c r="V185" s="37" t="s">
        <v>229</v>
      </c>
      <c r="W185" s="38"/>
      <c r="X185" s="38"/>
      <c r="Y185" s="39"/>
      <c r="Z185" s="13"/>
      <c r="AB185" s="37" t="s">
        <v>230</v>
      </c>
      <c r="AC185" s="38"/>
      <c r="AD185" s="38"/>
      <c r="AE185" s="39"/>
      <c r="AH185" s="37" t="s">
        <v>231</v>
      </c>
      <c r="AI185" s="38"/>
      <c r="AJ185" s="38"/>
      <c r="AK185" s="39"/>
    </row>
    <row r="186" spans="1:37" ht="51" x14ac:dyDescent="0.2">
      <c r="A186" s="25" t="s">
        <v>215</v>
      </c>
      <c r="B186" s="29" t="s">
        <v>233</v>
      </c>
      <c r="C186" s="25" t="s">
        <v>219</v>
      </c>
      <c r="D186" s="29" t="s">
        <v>243</v>
      </c>
      <c r="E186" s="29" t="s">
        <v>244</v>
      </c>
      <c r="F186" s="29" t="s">
        <v>155</v>
      </c>
      <c r="G186" s="25" t="s">
        <v>218</v>
      </c>
      <c r="J186" s="29" t="s">
        <v>243</v>
      </c>
      <c r="K186" s="29" t="s">
        <v>244</v>
      </c>
      <c r="L186" s="29" t="s">
        <v>155</v>
      </c>
      <c r="M186" s="25" t="s">
        <v>218</v>
      </c>
      <c r="P186" s="29" t="s">
        <v>243</v>
      </c>
      <c r="Q186" s="29" t="s">
        <v>244</v>
      </c>
      <c r="R186" s="29" t="s">
        <v>155</v>
      </c>
      <c r="S186" s="25" t="s">
        <v>218</v>
      </c>
      <c r="V186" s="29" t="s">
        <v>243</v>
      </c>
      <c r="W186" s="29" t="s">
        <v>244</v>
      </c>
      <c r="X186" s="29" t="s">
        <v>155</v>
      </c>
      <c r="Y186" s="25" t="s">
        <v>218</v>
      </c>
      <c r="AB186" s="29" t="s">
        <v>243</v>
      </c>
      <c r="AC186" s="29" t="s">
        <v>244</v>
      </c>
      <c r="AD186" s="29" t="s">
        <v>155</v>
      </c>
      <c r="AE186" s="25" t="s">
        <v>218</v>
      </c>
      <c r="AH186" s="29" t="s">
        <v>243</v>
      </c>
      <c r="AI186" s="29" t="s">
        <v>244</v>
      </c>
      <c r="AJ186" s="29" t="s">
        <v>155</v>
      </c>
      <c r="AK186" s="25" t="s">
        <v>218</v>
      </c>
    </row>
    <row r="187" spans="1:37" x14ac:dyDescent="0.2">
      <c r="A187" s="34">
        <v>1</v>
      </c>
      <c r="B187" s="11" t="s">
        <v>245</v>
      </c>
      <c r="C187" s="4">
        <v>1</v>
      </c>
      <c r="D187" s="4" t="s">
        <v>173</v>
      </c>
      <c r="E187" s="36">
        <v>0.95860000000000001</v>
      </c>
      <c r="F187" s="4">
        <v>11.23</v>
      </c>
      <c r="G187" s="4">
        <v>3025</v>
      </c>
      <c r="J187" s="4" t="s">
        <v>175</v>
      </c>
      <c r="K187" s="36">
        <v>0</v>
      </c>
      <c r="L187" s="4">
        <v>70.75</v>
      </c>
      <c r="M187" s="4">
        <v>8651</v>
      </c>
      <c r="P187" s="4" t="s">
        <v>175</v>
      </c>
      <c r="Q187" s="36">
        <v>0</v>
      </c>
      <c r="R187" s="4">
        <v>10.77</v>
      </c>
      <c r="S187" s="4">
        <v>1730</v>
      </c>
      <c r="V187" s="4" t="s">
        <v>175</v>
      </c>
      <c r="W187" s="36">
        <v>0</v>
      </c>
      <c r="X187" s="4">
        <v>5.87</v>
      </c>
      <c r="Y187" s="4">
        <v>1183</v>
      </c>
      <c r="AB187" s="4" t="s">
        <v>175</v>
      </c>
      <c r="AC187" s="36">
        <v>0</v>
      </c>
      <c r="AD187" s="4">
        <v>3.96</v>
      </c>
      <c r="AE187" s="4">
        <v>1518</v>
      </c>
      <c r="AH187" s="4" t="s">
        <v>175</v>
      </c>
      <c r="AI187" s="36">
        <v>0</v>
      </c>
      <c r="AJ187" s="4">
        <v>0</v>
      </c>
      <c r="AK187" s="4" t="s">
        <v>180</v>
      </c>
    </row>
    <row r="188" spans="1:37" x14ac:dyDescent="0.2">
      <c r="A188" s="34">
        <v>2</v>
      </c>
      <c r="B188" s="11" t="s">
        <v>129</v>
      </c>
      <c r="C188" s="4">
        <v>1</v>
      </c>
      <c r="D188" s="4" t="s">
        <v>173</v>
      </c>
      <c r="E188" s="36">
        <v>0.92679999999999996</v>
      </c>
      <c r="F188" s="4">
        <v>10.34</v>
      </c>
      <c r="G188" s="4">
        <v>3106</v>
      </c>
      <c r="J188" s="4" t="s">
        <v>175</v>
      </c>
      <c r="K188" s="36">
        <v>0</v>
      </c>
      <c r="L188" s="4">
        <v>34.840000000000003</v>
      </c>
      <c r="M188" s="4">
        <v>4913</v>
      </c>
      <c r="P188" s="4" t="s">
        <v>175</v>
      </c>
      <c r="Q188" s="36">
        <v>9.8400000000000001E-2</v>
      </c>
      <c r="R188" s="4">
        <v>2.76</v>
      </c>
      <c r="S188" s="4">
        <v>1365</v>
      </c>
      <c r="V188" s="4" t="s">
        <v>173</v>
      </c>
      <c r="W188" s="36">
        <v>0.9173</v>
      </c>
      <c r="X188" s="4">
        <v>5.0199999999999996</v>
      </c>
      <c r="Y188" s="4">
        <v>1178</v>
      </c>
      <c r="AB188" s="4" t="s">
        <v>175</v>
      </c>
      <c r="AC188" s="36">
        <v>0</v>
      </c>
      <c r="AD188" s="4">
        <v>3.58</v>
      </c>
      <c r="AE188" s="4">
        <v>1512</v>
      </c>
      <c r="AH188" s="4" t="s">
        <v>173</v>
      </c>
      <c r="AI188" s="36">
        <v>0.46739999999999998</v>
      </c>
      <c r="AJ188" s="4">
        <v>3.37</v>
      </c>
      <c r="AK188" s="4" t="s">
        <v>180</v>
      </c>
    </row>
    <row r="189" spans="1:37" x14ac:dyDescent="0.2">
      <c r="A189" s="34">
        <v>3</v>
      </c>
      <c r="B189" s="11" t="s">
        <v>130</v>
      </c>
      <c r="C189" s="4">
        <v>1</v>
      </c>
      <c r="D189" s="4" t="s">
        <v>175</v>
      </c>
      <c r="E189" s="36">
        <v>0.94730000000000003</v>
      </c>
      <c r="F189" s="4">
        <v>24.76</v>
      </c>
      <c r="G189" s="4">
        <v>5613</v>
      </c>
      <c r="J189" s="4" t="s">
        <v>175</v>
      </c>
      <c r="K189" s="36">
        <v>0</v>
      </c>
      <c r="L189" s="4">
        <v>99.55</v>
      </c>
      <c r="M189" s="4">
        <v>11919</v>
      </c>
      <c r="P189" s="4" t="s">
        <v>175</v>
      </c>
      <c r="Q189" s="36">
        <v>1.09E-2</v>
      </c>
      <c r="R189" s="4">
        <v>2.66</v>
      </c>
      <c r="S189" s="4">
        <v>1365</v>
      </c>
      <c r="V189" s="4" t="s">
        <v>175</v>
      </c>
      <c r="W189" s="36">
        <v>0.95330000000000004</v>
      </c>
      <c r="X189" s="4">
        <v>5.12</v>
      </c>
      <c r="Y189" s="4">
        <v>1178</v>
      </c>
      <c r="AB189" s="4" t="s">
        <v>175</v>
      </c>
      <c r="AC189" s="36">
        <v>0</v>
      </c>
      <c r="AD189" s="4">
        <v>4.1900000000000004</v>
      </c>
      <c r="AE189" s="4">
        <v>1512</v>
      </c>
      <c r="AH189" s="4" t="s">
        <v>173</v>
      </c>
      <c r="AI189" s="36">
        <v>0.48549999999999999</v>
      </c>
      <c r="AJ189" s="4">
        <v>3.36</v>
      </c>
      <c r="AK189" s="4" t="s">
        <v>180</v>
      </c>
    </row>
    <row r="190" spans="1:37" x14ac:dyDescent="0.2">
      <c r="A190" s="34">
        <v>4</v>
      </c>
      <c r="B190" s="11" t="s">
        <v>131</v>
      </c>
      <c r="C190" s="4">
        <v>1</v>
      </c>
      <c r="D190" s="4" t="s">
        <v>173</v>
      </c>
      <c r="E190" s="36">
        <v>0.90749999999999997</v>
      </c>
      <c r="F190" s="4">
        <v>10.7</v>
      </c>
      <c r="G190" s="4">
        <v>3073</v>
      </c>
      <c r="J190" s="4" t="s">
        <v>173</v>
      </c>
      <c r="K190" s="36">
        <v>0.46710000000000002</v>
      </c>
      <c r="L190" s="4">
        <v>37.07</v>
      </c>
      <c r="M190" s="4">
        <v>5225</v>
      </c>
      <c r="P190" s="4" t="s">
        <v>175</v>
      </c>
      <c r="Q190" s="36">
        <v>0.1091</v>
      </c>
      <c r="R190" s="4">
        <v>3.38</v>
      </c>
      <c r="S190" s="4">
        <v>1369</v>
      </c>
      <c r="V190" s="4" t="s">
        <v>173</v>
      </c>
      <c r="W190" s="36">
        <v>0.88339999999999996</v>
      </c>
      <c r="X190" s="4">
        <v>4.07</v>
      </c>
      <c r="Y190" s="4">
        <v>1183</v>
      </c>
      <c r="AB190" s="4" t="s">
        <v>173</v>
      </c>
      <c r="AC190" s="36">
        <v>0.35589999999999999</v>
      </c>
      <c r="AD190" s="4">
        <v>3.25</v>
      </c>
      <c r="AE190" s="4">
        <v>1516</v>
      </c>
      <c r="AH190" s="4" t="s">
        <v>173</v>
      </c>
      <c r="AI190" s="36">
        <v>0.21060000000000001</v>
      </c>
      <c r="AJ190" s="4">
        <v>3.43</v>
      </c>
      <c r="AK190" s="4" t="s">
        <v>180</v>
      </c>
    </row>
    <row r="191" spans="1:37" x14ac:dyDescent="0.2">
      <c r="A191" s="34">
        <v>5</v>
      </c>
      <c r="B191" s="11" t="s">
        <v>132</v>
      </c>
      <c r="C191" s="4">
        <v>1</v>
      </c>
      <c r="D191" s="4" t="s">
        <v>173</v>
      </c>
      <c r="E191" s="36">
        <v>0.96970000000000001</v>
      </c>
      <c r="F191" s="4">
        <v>4.13</v>
      </c>
      <c r="G191" s="4">
        <v>1869</v>
      </c>
      <c r="J191" s="4" t="s">
        <v>173</v>
      </c>
      <c r="K191" s="36">
        <v>0.9698</v>
      </c>
      <c r="L191" s="4">
        <v>26.09</v>
      </c>
      <c r="M191" s="4">
        <v>4106</v>
      </c>
      <c r="P191" s="4" t="s">
        <v>173</v>
      </c>
      <c r="Q191" s="36">
        <v>0.39300000000000002</v>
      </c>
      <c r="R191" s="4">
        <v>3.48</v>
      </c>
      <c r="S191" s="4">
        <v>1367</v>
      </c>
      <c r="V191" s="4" t="s">
        <v>173</v>
      </c>
      <c r="W191" s="36">
        <v>0.95509999999999995</v>
      </c>
      <c r="X191" s="4">
        <v>4.5199999999999996</v>
      </c>
      <c r="Y191" s="4">
        <v>1180</v>
      </c>
      <c r="AB191" s="4" t="s">
        <v>175</v>
      </c>
      <c r="AC191" s="36">
        <v>0</v>
      </c>
      <c r="AD191" s="4">
        <v>4.5999999999999996</v>
      </c>
      <c r="AE191" s="4">
        <v>1516</v>
      </c>
      <c r="AH191" s="4" t="s">
        <v>173</v>
      </c>
      <c r="AI191" s="36">
        <v>0.44579999999999997</v>
      </c>
      <c r="AJ191" s="4">
        <v>3.44</v>
      </c>
      <c r="AK191" s="4" t="s">
        <v>180</v>
      </c>
    </row>
    <row r="192" spans="1:37" x14ac:dyDescent="0.2">
      <c r="A192" s="34">
        <v>6</v>
      </c>
      <c r="B192" s="11" t="s">
        <v>133</v>
      </c>
      <c r="C192" s="4">
        <v>1</v>
      </c>
      <c r="D192" s="4" t="s">
        <v>173</v>
      </c>
      <c r="E192" s="36">
        <v>0.89419999999999999</v>
      </c>
      <c r="F192" s="4">
        <v>5.26</v>
      </c>
      <c r="G192" s="4">
        <v>2064</v>
      </c>
      <c r="J192" s="4" t="s">
        <v>173</v>
      </c>
      <c r="K192" s="36">
        <v>0.93049999999999999</v>
      </c>
      <c r="L192" s="4">
        <v>37.68</v>
      </c>
      <c r="M192" s="4">
        <v>5180</v>
      </c>
      <c r="P192" s="4" t="s">
        <v>175</v>
      </c>
      <c r="Q192" s="36">
        <v>0</v>
      </c>
      <c r="R192" s="4">
        <v>3.07</v>
      </c>
      <c r="S192" s="4">
        <v>1367</v>
      </c>
      <c r="V192" s="4" t="s">
        <v>173</v>
      </c>
      <c r="W192" s="36">
        <v>0.91720000000000002</v>
      </c>
      <c r="X192" s="4">
        <v>4.2</v>
      </c>
      <c r="Y192" s="4">
        <v>1179</v>
      </c>
      <c r="AB192" s="4" t="s">
        <v>175</v>
      </c>
      <c r="AC192" s="36">
        <v>0</v>
      </c>
      <c r="AD192" s="4">
        <v>3.76</v>
      </c>
      <c r="AE192" s="4">
        <v>1518</v>
      </c>
      <c r="AH192" s="4" t="s">
        <v>173</v>
      </c>
      <c r="AI192" s="36">
        <v>0.37440000000000001</v>
      </c>
      <c r="AJ192" s="4">
        <v>3.42</v>
      </c>
      <c r="AK192" s="4" t="s">
        <v>180</v>
      </c>
    </row>
    <row r="193" spans="1:37" x14ac:dyDescent="0.2">
      <c r="A193" s="34">
        <v>7</v>
      </c>
      <c r="B193" s="11" t="s">
        <v>134</v>
      </c>
      <c r="C193" s="4">
        <v>1</v>
      </c>
      <c r="D193" s="4" t="s">
        <v>173</v>
      </c>
      <c r="E193" s="36">
        <v>0.91839999999999999</v>
      </c>
      <c r="F193" s="4">
        <v>12.21</v>
      </c>
      <c r="G193" s="4">
        <v>3239</v>
      </c>
      <c r="J193" s="4" t="s">
        <v>175</v>
      </c>
      <c r="K193" s="36">
        <v>0</v>
      </c>
      <c r="L193" s="4">
        <v>108.89</v>
      </c>
      <c r="M193" s="4">
        <v>13514</v>
      </c>
      <c r="P193" s="4" t="s">
        <v>173</v>
      </c>
      <c r="Q193" s="36">
        <v>0.29399999999999998</v>
      </c>
      <c r="R193" s="4">
        <v>2.69</v>
      </c>
      <c r="S193" s="4">
        <v>1369</v>
      </c>
      <c r="V193" s="4" t="s">
        <v>173</v>
      </c>
      <c r="W193" s="36">
        <v>0.82169999999999999</v>
      </c>
      <c r="X193" s="4">
        <v>4.43</v>
      </c>
      <c r="Y193" s="4">
        <v>1182</v>
      </c>
      <c r="AB193" s="4" t="s">
        <v>175</v>
      </c>
      <c r="AC193" s="36">
        <v>0</v>
      </c>
      <c r="AD193" s="4">
        <v>4.1100000000000003</v>
      </c>
      <c r="AE193" s="4">
        <v>1516</v>
      </c>
      <c r="AH193" s="4" t="s">
        <v>173</v>
      </c>
      <c r="AI193" s="36">
        <v>0.38419999999999999</v>
      </c>
      <c r="AJ193" s="4">
        <v>3.44</v>
      </c>
      <c r="AK193" s="4" t="s">
        <v>180</v>
      </c>
    </row>
    <row r="194" spans="1:37" x14ac:dyDescent="0.2">
      <c r="A194" s="34">
        <v>8</v>
      </c>
      <c r="B194" s="11" t="s">
        <v>135</v>
      </c>
      <c r="C194" s="4">
        <v>1</v>
      </c>
      <c r="D194" s="4" t="s">
        <v>173</v>
      </c>
      <c r="E194" s="36">
        <v>0.96860000000000002</v>
      </c>
      <c r="F194" s="4">
        <v>11.57</v>
      </c>
      <c r="G194" s="4">
        <v>2993</v>
      </c>
      <c r="J194" s="4" t="s">
        <v>173</v>
      </c>
      <c r="K194" s="36">
        <v>0.94499999999999995</v>
      </c>
      <c r="L194" s="4">
        <v>26.08</v>
      </c>
      <c r="M194" s="4">
        <v>3923</v>
      </c>
      <c r="P194" s="4" t="s">
        <v>173</v>
      </c>
      <c r="Q194" s="36">
        <v>0.69640000000000002</v>
      </c>
      <c r="R194" s="4">
        <v>2.67</v>
      </c>
      <c r="S194" s="4">
        <v>1369</v>
      </c>
      <c r="V194" s="4" t="s">
        <v>173</v>
      </c>
      <c r="W194" s="36">
        <v>0.89729999999999999</v>
      </c>
      <c r="X194" s="4">
        <v>4.91</v>
      </c>
      <c r="Y194" s="4">
        <v>1182</v>
      </c>
      <c r="AB194" s="4" t="s">
        <v>175</v>
      </c>
      <c r="AC194" s="36">
        <v>0.16769999999999999</v>
      </c>
      <c r="AD194" s="4">
        <v>4.8</v>
      </c>
      <c r="AE194" s="4">
        <v>1516</v>
      </c>
      <c r="AH194" s="4" t="s">
        <v>173</v>
      </c>
      <c r="AI194" s="36">
        <v>0.43330000000000002</v>
      </c>
      <c r="AJ194" s="4">
        <v>3.48</v>
      </c>
      <c r="AK194" s="4" t="s">
        <v>180</v>
      </c>
    </row>
    <row r="195" spans="1:37" x14ac:dyDescent="0.2">
      <c r="A195" s="34">
        <v>9</v>
      </c>
      <c r="B195" s="11" t="s">
        <v>136</v>
      </c>
      <c r="C195" s="4">
        <v>1</v>
      </c>
      <c r="D195" s="4" t="s">
        <v>173</v>
      </c>
      <c r="E195" s="36">
        <v>0.93130000000000002</v>
      </c>
      <c r="F195" s="4">
        <v>4.63</v>
      </c>
      <c r="G195" s="4">
        <v>1892</v>
      </c>
      <c r="J195" s="4" t="s">
        <v>173</v>
      </c>
      <c r="K195" s="36">
        <v>0.52110000000000001</v>
      </c>
      <c r="L195" s="4">
        <v>91.6</v>
      </c>
      <c r="M195" s="4">
        <v>11464</v>
      </c>
      <c r="P195" s="4" t="s">
        <v>175</v>
      </c>
      <c r="Q195" s="36">
        <v>0</v>
      </c>
      <c r="R195" s="4">
        <v>3.19</v>
      </c>
      <c r="S195" s="4">
        <v>1367</v>
      </c>
      <c r="V195" s="4" t="s">
        <v>173</v>
      </c>
      <c r="W195" s="36">
        <v>0.82350000000000001</v>
      </c>
      <c r="X195" s="4">
        <v>4.2699999999999996</v>
      </c>
      <c r="Y195" s="4">
        <v>1180</v>
      </c>
      <c r="AB195" s="4" t="s">
        <v>175</v>
      </c>
      <c r="AC195" s="36">
        <v>4.7399999999999998E-2</v>
      </c>
      <c r="AD195" s="4">
        <v>4</v>
      </c>
      <c r="AE195" s="4">
        <v>1516</v>
      </c>
      <c r="AH195" s="4" t="s">
        <v>173</v>
      </c>
      <c r="AI195" s="36">
        <v>0.39319999999999999</v>
      </c>
      <c r="AJ195" s="4">
        <v>3.41</v>
      </c>
      <c r="AK195" s="4" t="s">
        <v>180</v>
      </c>
    </row>
    <row r="196" spans="1:37" x14ac:dyDescent="0.2">
      <c r="A196" s="34">
        <v>10</v>
      </c>
      <c r="B196" s="11" t="s">
        <v>137</v>
      </c>
      <c r="C196" s="4">
        <v>1</v>
      </c>
      <c r="D196" s="4" t="s">
        <v>173</v>
      </c>
      <c r="E196" s="36">
        <v>0.94379999999999997</v>
      </c>
      <c r="F196" s="4">
        <v>8.32</v>
      </c>
      <c r="G196" s="4">
        <v>2651</v>
      </c>
      <c r="J196" s="4" t="s">
        <v>173</v>
      </c>
      <c r="K196" s="36">
        <v>0.47249999999999998</v>
      </c>
      <c r="L196" s="4">
        <v>26.24</v>
      </c>
      <c r="M196" s="4">
        <v>4051</v>
      </c>
      <c r="P196" s="4" t="s">
        <v>175</v>
      </c>
      <c r="Q196" s="36">
        <v>9.4999999999999998E-3</v>
      </c>
      <c r="R196" s="4">
        <v>2.38</v>
      </c>
      <c r="S196" s="4">
        <v>1369</v>
      </c>
      <c r="V196" s="4" t="s">
        <v>173</v>
      </c>
      <c r="W196" s="36">
        <v>0.65449999999999997</v>
      </c>
      <c r="X196" s="4">
        <v>4.28</v>
      </c>
      <c r="Y196" s="4">
        <v>1182</v>
      </c>
      <c r="AB196" s="4" t="s">
        <v>175</v>
      </c>
      <c r="AC196" s="36">
        <v>0</v>
      </c>
      <c r="AD196" s="4">
        <v>3.39</v>
      </c>
      <c r="AE196" s="4">
        <v>1516</v>
      </c>
      <c r="AH196" s="4" t="s">
        <v>173</v>
      </c>
      <c r="AI196" s="36">
        <v>9.0899999999999995E-2</v>
      </c>
      <c r="AJ196" s="4">
        <v>3.45</v>
      </c>
      <c r="AK196" s="4" t="s">
        <v>180</v>
      </c>
    </row>
    <row r="197" spans="1:37" x14ac:dyDescent="0.2">
      <c r="A197" s="34">
        <v>11</v>
      </c>
      <c r="B197" s="11" t="s">
        <v>138</v>
      </c>
      <c r="C197" s="4">
        <v>1</v>
      </c>
      <c r="D197" s="4" t="s">
        <v>173</v>
      </c>
      <c r="E197" s="36">
        <v>0.96340000000000003</v>
      </c>
      <c r="F197" s="4">
        <v>6.93</v>
      </c>
      <c r="G197" s="4">
        <v>2277</v>
      </c>
      <c r="J197" s="4" t="s">
        <v>173</v>
      </c>
      <c r="K197" s="36">
        <v>0.95269999999999999</v>
      </c>
      <c r="L197" s="4">
        <v>8.82</v>
      </c>
      <c r="M197" s="4">
        <v>2123</v>
      </c>
      <c r="P197" s="4" t="s">
        <v>175</v>
      </c>
      <c r="Q197" s="36">
        <v>0</v>
      </c>
      <c r="R197" s="4">
        <v>2.76</v>
      </c>
      <c r="S197" s="4">
        <v>1367</v>
      </c>
      <c r="V197" s="4" t="s">
        <v>173</v>
      </c>
      <c r="W197" s="36">
        <v>0.8226</v>
      </c>
      <c r="X197" s="4">
        <v>4.62</v>
      </c>
      <c r="Y197" s="4">
        <v>1180</v>
      </c>
      <c r="AB197" s="4" t="s">
        <v>175</v>
      </c>
      <c r="AC197" s="36">
        <v>0</v>
      </c>
      <c r="AD197" s="4">
        <v>5.43</v>
      </c>
      <c r="AE197" s="4">
        <v>1516</v>
      </c>
      <c r="AH197" s="4" t="s">
        <v>173</v>
      </c>
      <c r="AI197" s="36">
        <v>0.36270000000000002</v>
      </c>
      <c r="AJ197" s="4">
        <v>3.4</v>
      </c>
      <c r="AK197" s="4" t="s">
        <v>180</v>
      </c>
    </row>
    <row r="198" spans="1:37" x14ac:dyDescent="0.2">
      <c r="A198" s="34">
        <v>12</v>
      </c>
      <c r="B198" s="11" t="s">
        <v>139</v>
      </c>
      <c r="C198" s="4">
        <v>1</v>
      </c>
      <c r="D198" s="4" t="s">
        <v>173</v>
      </c>
      <c r="E198" s="36">
        <v>0.75429999999999997</v>
      </c>
      <c r="F198" s="4">
        <v>6.29</v>
      </c>
      <c r="G198" s="4">
        <v>2235</v>
      </c>
      <c r="J198" s="4" t="s">
        <v>175</v>
      </c>
      <c r="K198" s="36">
        <v>0.37259999999999999</v>
      </c>
      <c r="L198" s="4">
        <v>43.11</v>
      </c>
      <c r="M198" s="4">
        <v>5915</v>
      </c>
      <c r="P198" s="4" t="s">
        <v>175</v>
      </c>
      <c r="Q198" s="36">
        <v>0</v>
      </c>
      <c r="R198" s="4">
        <v>2.67</v>
      </c>
      <c r="S198" s="4">
        <v>1373</v>
      </c>
      <c r="V198" s="4" t="s">
        <v>173</v>
      </c>
      <c r="W198" s="36">
        <v>0.57140000000000002</v>
      </c>
      <c r="X198" s="4">
        <v>4.1100000000000003</v>
      </c>
      <c r="Y198" s="4">
        <v>1186</v>
      </c>
      <c r="AB198" s="4" t="s">
        <v>175</v>
      </c>
      <c r="AC198" s="36">
        <v>0</v>
      </c>
      <c r="AD198" s="4">
        <v>3.68</v>
      </c>
      <c r="AE198" s="4">
        <v>1522</v>
      </c>
      <c r="AH198" s="4" t="s">
        <v>173</v>
      </c>
      <c r="AI198" s="36">
        <v>0.1714</v>
      </c>
      <c r="AJ198" s="4">
        <v>3.53</v>
      </c>
      <c r="AK198" s="4" t="s">
        <v>180</v>
      </c>
    </row>
    <row r="199" spans="1:37" x14ac:dyDescent="0.2">
      <c r="A199" s="34">
        <v>13</v>
      </c>
      <c r="B199" s="11" t="s">
        <v>140</v>
      </c>
      <c r="C199" s="4">
        <v>1</v>
      </c>
      <c r="D199" s="4" t="s">
        <v>173</v>
      </c>
      <c r="E199" s="36">
        <v>0.90369999999999995</v>
      </c>
      <c r="F199" s="4">
        <v>57.44</v>
      </c>
      <c r="G199" s="4">
        <v>11358</v>
      </c>
      <c r="J199" s="4" t="s">
        <v>173</v>
      </c>
      <c r="K199" s="36">
        <v>0.90669999999999995</v>
      </c>
      <c r="L199" s="4">
        <v>18.420000000000002</v>
      </c>
      <c r="M199" s="4">
        <v>3202</v>
      </c>
      <c r="P199" s="4" t="s">
        <v>175</v>
      </c>
      <c r="Q199" s="36">
        <v>0</v>
      </c>
      <c r="R199" s="4">
        <v>3.07</v>
      </c>
      <c r="S199" s="4">
        <v>1374</v>
      </c>
      <c r="V199" s="4" t="s">
        <v>173</v>
      </c>
      <c r="W199" s="36">
        <v>0.90620000000000001</v>
      </c>
      <c r="X199" s="4">
        <v>4.18</v>
      </c>
      <c r="Y199" s="4">
        <v>1182</v>
      </c>
      <c r="AB199" s="4" t="s">
        <v>175</v>
      </c>
      <c r="AC199" s="36">
        <v>0.14000000000000001</v>
      </c>
      <c r="AD199" s="4">
        <v>3.89</v>
      </c>
      <c r="AE199" s="4">
        <v>1520</v>
      </c>
      <c r="AH199" s="4" t="s">
        <v>173</v>
      </c>
      <c r="AI199" s="36">
        <v>0.30709999999999998</v>
      </c>
      <c r="AJ199" s="4">
        <v>3.37</v>
      </c>
      <c r="AK199" s="4" t="s">
        <v>180</v>
      </c>
    </row>
    <row r="200" spans="1:37" x14ac:dyDescent="0.2">
      <c r="A200" s="34">
        <v>14</v>
      </c>
      <c r="B200" s="11" t="s">
        <v>141</v>
      </c>
      <c r="C200" s="4">
        <v>1</v>
      </c>
      <c r="D200" s="4" t="s">
        <v>173</v>
      </c>
      <c r="E200" s="36">
        <v>0.79010000000000002</v>
      </c>
      <c r="F200" s="4">
        <v>4.93</v>
      </c>
      <c r="G200" s="4">
        <v>1995</v>
      </c>
      <c r="J200" s="4" t="s">
        <v>175</v>
      </c>
      <c r="K200" s="36">
        <v>3.2599999999999997E-2</v>
      </c>
      <c r="L200" s="4">
        <v>87.17</v>
      </c>
      <c r="M200" s="4">
        <v>10687</v>
      </c>
      <c r="P200" s="4" t="s">
        <v>175</v>
      </c>
      <c r="Q200" s="36">
        <v>0.34010000000000001</v>
      </c>
      <c r="R200" s="4">
        <v>3</v>
      </c>
      <c r="S200" s="4">
        <v>1366</v>
      </c>
      <c r="V200" s="4" t="s">
        <v>173</v>
      </c>
      <c r="W200" s="36">
        <v>0.96150000000000002</v>
      </c>
      <c r="X200" s="4">
        <v>5.36</v>
      </c>
      <c r="Y200" s="4">
        <v>1179</v>
      </c>
      <c r="AB200" s="4" t="s">
        <v>175</v>
      </c>
      <c r="AC200" s="36">
        <v>0</v>
      </c>
      <c r="AD200" s="4">
        <v>7.9</v>
      </c>
      <c r="AE200" s="4">
        <v>1514</v>
      </c>
      <c r="AH200" s="4" t="s">
        <v>173</v>
      </c>
      <c r="AI200" s="36">
        <v>0.13139999999999999</v>
      </c>
      <c r="AJ200" s="4">
        <v>3.45</v>
      </c>
      <c r="AK200" s="4" t="s">
        <v>180</v>
      </c>
    </row>
    <row r="201" spans="1:37" x14ac:dyDescent="0.2">
      <c r="A201" s="34">
        <v>15</v>
      </c>
      <c r="B201" s="11" t="s">
        <v>142</v>
      </c>
      <c r="C201" s="4">
        <v>1</v>
      </c>
      <c r="D201" s="4" t="s">
        <v>173</v>
      </c>
      <c r="E201" s="36">
        <v>0.71699999999999997</v>
      </c>
      <c r="F201" s="4">
        <v>4.37</v>
      </c>
      <c r="G201" s="4">
        <v>1915</v>
      </c>
      <c r="J201" s="4" t="s">
        <v>173</v>
      </c>
      <c r="K201" s="36">
        <v>0.40050000000000002</v>
      </c>
      <c r="L201" s="4">
        <v>52.71</v>
      </c>
      <c r="M201" s="4">
        <v>7035</v>
      </c>
      <c r="P201" s="4" t="s">
        <v>175</v>
      </c>
      <c r="Q201" s="36">
        <v>0</v>
      </c>
      <c r="R201" s="4">
        <v>2.57</v>
      </c>
      <c r="S201" s="4">
        <v>1373</v>
      </c>
      <c r="V201" s="4" t="s">
        <v>173</v>
      </c>
      <c r="W201" s="36">
        <v>0.48670000000000002</v>
      </c>
      <c r="X201" s="4">
        <v>4.1100000000000003</v>
      </c>
      <c r="Y201" s="4">
        <v>1186</v>
      </c>
      <c r="AB201" s="4" t="s">
        <v>175</v>
      </c>
      <c r="AC201" s="36">
        <v>0</v>
      </c>
      <c r="AD201" s="4">
        <v>3.84</v>
      </c>
      <c r="AE201" s="4">
        <v>1522</v>
      </c>
      <c r="AH201" s="4" t="s">
        <v>173</v>
      </c>
      <c r="AI201" s="36">
        <v>0.15279999999999999</v>
      </c>
      <c r="AJ201" s="4">
        <v>3.56</v>
      </c>
      <c r="AK201" s="4" t="s">
        <v>180</v>
      </c>
    </row>
    <row r="202" spans="1:37" x14ac:dyDescent="0.2">
      <c r="A202" s="34">
        <v>16</v>
      </c>
      <c r="B202" s="11" t="s">
        <v>143</v>
      </c>
      <c r="C202" s="4">
        <v>1</v>
      </c>
      <c r="D202" s="4" t="s">
        <v>173</v>
      </c>
      <c r="E202" s="36">
        <v>0.78959999999999997</v>
      </c>
      <c r="F202" s="4">
        <v>6.71</v>
      </c>
      <c r="G202" s="4">
        <v>2245</v>
      </c>
      <c r="J202" s="4" t="s">
        <v>173</v>
      </c>
      <c r="K202" s="36">
        <v>0.87539999999999996</v>
      </c>
      <c r="L202" s="4">
        <v>41.81</v>
      </c>
      <c r="M202" s="4">
        <v>5603</v>
      </c>
      <c r="P202" s="4" t="s">
        <v>175</v>
      </c>
      <c r="Q202" s="36">
        <v>0.15049999999999999</v>
      </c>
      <c r="R202" s="4">
        <v>2.67</v>
      </c>
      <c r="S202" s="4">
        <v>1368</v>
      </c>
      <c r="V202" s="4" t="s">
        <v>173</v>
      </c>
      <c r="W202" s="36">
        <v>0.67410000000000003</v>
      </c>
      <c r="X202" s="4">
        <v>3.69</v>
      </c>
      <c r="Y202" s="4">
        <v>1178</v>
      </c>
      <c r="AB202" s="4" t="s">
        <v>175</v>
      </c>
      <c r="AC202" s="36">
        <v>0.25790000000000002</v>
      </c>
      <c r="AD202" s="4">
        <v>4.03</v>
      </c>
      <c r="AE202" s="4">
        <v>1517</v>
      </c>
      <c r="AH202" s="4" t="s">
        <v>175</v>
      </c>
      <c r="AI202" s="36">
        <v>0</v>
      </c>
      <c r="AJ202" s="4">
        <v>9.48</v>
      </c>
      <c r="AK202" s="4" t="s">
        <v>180</v>
      </c>
    </row>
    <row r="203" spans="1:37" x14ac:dyDescent="0.2">
      <c r="A203" s="34">
        <v>17</v>
      </c>
      <c r="B203" s="11" t="s">
        <v>144</v>
      </c>
      <c r="C203" s="4">
        <v>1</v>
      </c>
      <c r="D203" s="4" t="s">
        <v>173</v>
      </c>
      <c r="E203" s="36">
        <v>0.84770000000000001</v>
      </c>
      <c r="F203" s="4">
        <v>19.28</v>
      </c>
      <c r="G203" s="4">
        <v>4711</v>
      </c>
      <c r="J203" s="4" t="s">
        <v>173</v>
      </c>
      <c r="K203" s="36">
        <v>0.42430000000000001</v>
      </c>
      <c r="L203" s="4">
        <v>18.03</v>
      </c>
      <c r="M203" s="4">
        <v>3223</v>
      </c>
      <c r="P203" s="4" t="s">
        <v>175</v>
      </c>
      <c r="Q203" s="36">
        <v>2.69E-2</v>
      </c>
      <c r="R203" s="4">
        <v>2.8</v>
      </c>
      <c r="S203" s="4">
        <v>1377</v>
      </c>
      <c r="V203" s="4" t="s">
        <v>173</v>
      </c>
      <c r="W203" s="36">
        <v>0.42549999999999999</v>
      </c>
      <c r="X203" s="4">
        <v>4.2300000000000004</v>
      </c>
      <c r="Y203" s="4">
        <v>1190</v>
      </c>
      <c r="AB203" s="4" t="s">
        <v>175</v>
      </c>
      <c r="AC203" s="36">
        <v>0</v>
      </c>
      <c r="AD203" s="4">
        <v>4.01</v>
      </c>
      <c r="AE203" s="4">
        <v>1528</v>
      </c>
      <c r="AH203" s="4" t="s">
        <v>173</v>
      </c>
      <c r="AI203" s="36">
        <v>0</v>
      </c>
      <c r="AJ203" s="4">
        <v>3.71</v>
      </c>
      <c r="AK203" s="4" t="s">
        <v>180</v>
      </c>
    </row>
    <row r="204" spans="1:37" x14ac:dyDescent="0.2">
      <c r="A204" s="34">
        <v>18</v>
      </c>
      <c r="B204" s="11" t="s">
        <v>145</v>
      </c>
      <c r="C204" s="4">
        <v>1</v>
      </c>
      <c r="D204" s="4" t="s">
        <v>173</v>
      </c>
      <c r="E204" s="36">
        <v>0.81859999999999999</v>
      </c>
      <c r="F204" s="4">
        <v>7.18</v>
      </c>
      <c r="G204" s="4">
        <v>2440</v>
      </c>
      <c r="J204" s="4" t="s">
        <v>175</v>
      </c>
      <c r="K204" s="36">
        <v>0</v>
      </c>
      <c r="L204" s="4">
        <v>74.27</v>
      </c>
      <c r="M204" s="4">
        <v>9370</v>
      </c>
      <c r="P204" s="4" t="s">
        <v>175</v>
      </c>
      <c r="Q204" s="36">
        <v>0</v>
      </c>
      <c r="R204" s="4">
        <v>2.72</v>
      </c>
      <c r="S204" s="4">
        <v>1377</v>
      </c>
      <c r="V204" s="4" t="s">
        <v>173</v>
      </c>
      <c r="W204" s="36">
        <v>0.72650000000000003</v>
      </c>
      <c r="X204" s="4">
        <v>4.28</v>
      </c>
      <c r="Y204" s="4">
        <v>1190</v>
      </c>
      <c r="AB204" s="4" t="s">
        <v>175</v>
      </c>
      <c r="AC204" s="36">
        <v>0</v>
      </c>
      <c r="AD204" s="4">
        <v>3.87</v>
      </c>
      <c r="AE204" s="4">
        <v>1528</v>
      </c>
      <c r="AH204" s="4" t="s">
        <v>173</v>
      </c>
      <c r="AI204" s="36">
        <v>0.53779999999999994</v>
      </c>
      <c r="AJ204" s="4">
        <v>3.7</v>
      </c>
      <c r="AK204" s="4" t="s">
        <v>180</v>
      </c>
    </row>
    <row r="205" spans="1:37" x14ac:dyDescent="0.2">
      <c r="A205" s="34">
        <v>19</v>
      </c>
      <c r="B205" s="11" t="s">
        <v>138</v>
      </c>
      <c r="C205" s="4">
        <v>1</v>
      </c>
      <c r="D205" s="4" t="s">
        <v>175</v>
      </c>
      <c r="E205" s="36">
        <v>0.92469999999999997</v>
      </c>
      <c r="F205" s="4">
        <v>13.94</v>
      </c>
      <c r="G205" s="4">
        <v>3531</v>
      </c>
      <c r="J205" s="4" t="s">
        <v>173</v>
      </c>
      <c r="K205" s="36">
        <v>0.95379999999999998</v>
      </c>
      <c r="L205" s="4">
        <v>33.69</v>
      </c>
      <c r="M205" s="4">
        <v>4803</v>
      </c>
      <c r="P205" s="4" t="s">
        <v>175</v>
      </c>
      <c r="Q205" s="36">
        <v>0</v>
      </c>
      <c r="R205" s="4">
        <v>2.66</v>
      </c>
      <c r="S205" s="4">
        <v>1370</v>
      </c>
      <c r="V205" s="4" t="s">
        <v>173</v>
      </c>
      <c r="W205" s="36">
        <v>0.91610000000000003</v>
      </c>
      <c r="X205" s="4">
        <v>4.0199999999999996</v>
      </c>
      <c r="Y205" s="4">
        <v>1180</v>
      </c>
      <c r="AB205" s="4" t="s">
        <v>175</v>
      </c>
      <c r="AC205" s="36">
        <v>0</v>
      </c>
      <c r="AD205" s="4">
        <v>3.91</v>
      </c>
      <c r="AE205" s="4">
        <v>1519</v>
      </c>
      <c r="AH205" s="4" t="s">
        <v>175</v>
      </c>
      <c r="AI205" s="36">
        <v>0.39800000000000002</v>
      </c>
      <c r="AJ205" s="4">
        <v>3.52</v>
      </c>
      <c r="AK205" s="4" t="s">
        <v>180</v>
      </c>
    </row>
    <row r="206" spans="1:37" x14ac:dyDescent="0.2">
      <c r="A206" s="34">
        <v>20</v>
      </c>
      <c r="B206" s="11" t="s">
        <v>137</v>
      </c>
      <c r="C206" s="4">
        <v>1</v>
      </c>
      <c r="D206" s="4" t="s">
        <v>173</v>
      </c>
      <c r="E206" s="36">
        <v>0.8911</v>
      </c>
      <c r="F206" s="4">
        <v>5.15</v>
      </c>
      <c r="G206" s="4">
        <v>1960</v>
      </c>
      <c r="J206" s="4" t="s">
        <v>173</v>
      </c>
      <c r="K206" s="36">
        <v>0.91010000000000002</v>
      </c>
      <c r="L206" s="4">
        <v>18.66</v>
      </c>
      <c r="M206" s="4">
        <v>3197</v>
      </c>
      <c r="P206" s="4" t="s">
        <v>175</v>
      </c>
      <c r="Q206" s="36">
        <v>0</v>
      </c>
      <c r="R206" s="4">
        <v>2.76</v>
      </c>
      <c r="S206" s="4">
        <v>1372</v>
      </c>
      <c r="V206" s="4" t="s">
        <v>173</v>
      </c>
      <c r="W206" s="36">
        <v>0.75139999999999996</v>
      </c>
      <c r="X206" s="4">
        <v>4.2300000000000004</v>
      </c>
      <c r="Y206" s="4">
        <v>1182</v>
      </c>
      <c r="AB206" s="4" t="s">
        <v>175</v>
      </c>
      <c r="AC206" s="36">
        <v>0</v>
      </c>
      <c r="AD206" s="4">
        <v>5.67</v>
      </c>
      <c r="AE206" s="4">
        <v>1519</v>
      </c>
      <c r="AH206" s="4" t="s">
        <v>175</v>
      </c>
      <c r="AI206" s="36">
        <v>0</v>
      </c>
      <c r="AJ206" s="4">
        <v>3.47</v>
      </c>
      <c r="AK206" s="4" t="s">
        <v>180</v>
      </c>
    </row>
    <row r="207" spans="1:37" x14ac:dyDescent="0.2">
      <c r="A207" s="34">
        <v>21</v>
      </c>
      <c r="B207" s="11" t="s">
        <v>146</v>
      </c>
      <c r="C207" s="4">
        <v>1</v>
      </c>
      <c r="D207" s="4" t="s">
        <v>173</v>
      </c>
      <c r="E207" s="36">
        <v>0.92169999999999996</v>
      </c>
      <c r="F207" s="4">
        <v>7.59</v>
      </c>
      <c r="G207" s="4">
        <v>2533</v>
      </c>
      <c r="J207" s="4" t="s">
        <v>173</v>
      </c>
      <c r="K207" s="36">
        <v>0.9456</v>
      </c>
      <c r="L207" s="4">
        <v>25.43</v>
      </c>
      <c r="M207" s="4">
        <v>3900</v>
      </c>
      <c r="P207" s="4" t="s">
        <v>175</v>
      </c>
      <c r="Q207" s="36">
        <v>0</v>
      </c>
      <c r="R207" s="4">
        <v>2.6</v>
      </c>
      <c r="S207" s="4">
        <v>1371</v>
      </c>
      <c r="V207" s="4" t="s">
        <v>175</v>
      </c>
      <c r="W207" s="36">
        <v>0</v>
      </c>
      <c r="X207" s="4">
        <v>3.72</v>
      </c>
      <c r="Y207" s="4">
        <v>1184</v>
      </c>
      <c r="AB207" s="4" t="s">
        <v>175</v>
      </c>
      <c r="AC207" s="36">
        <v>0</v>
      </c>
      <c r="AD207" s="4">
        <v>4.05</v>
      </c>
      <c r="AE207" s="4">
        <v>1522</v>
      </c>
      <c r="AH207" s="4" t="s">
        <v>175</v>
      </c>
      <c r="AI207" s="36">
        <v>0</v>
      </c>
      <c r="AJ207" s="4">
        <v>3.56</v>
      </c>
      <c r="AK207" s="4" t="s">
        <v>180</v>
      </c>
    </row>
    <row r="208" spans="1:37" x14ac:dyDescent="0.2">
      <c r="A208" s="34">
        <v>1</v>
      </c>
      <c r="B208" s="11" t="s">
        <v>245</v>
      </c>
      <c r="C208" s="4">
        <v>2</v>
      </c>
      <c r="D208" s="4" t="s">
        <v>173</v>
      </c>
      <c r="E208" s="36">
        <v>0.93</v>
      </c>
      <c r="F208" s="4">
        <v>4.25</v>
      </c>
      <c r="G208" s="4">
        <v>1814</v>
      </c>
      <c r="J208" s="4" t="s">
        <v>175</v>
      </c>
      <c r="K208" s="36">
        <v>0</v>
      </c>
      <c r="L208" s="4">
        <v>54.99</v>
      </c>
      <c r="M208" s="4">
        <v>7279</v>
      </c>
      <c r="P208" s="4" t="s">
        <v>175</v>
      </c>
      <c r="Q208" s="36">
        <v>0</v>
      </c>
      <c r="R208" s="4">
        <v>10.52</v>
      </c>
      <c r="S208" s="4">
        <v>1728</v>
      </c>
      <c r="V208" s="4" t="s">
        <v>173</v>
      </c>
      <c r="W208" s="36">
        <v>0.96940000000000004</v>
      </c>
      <c r="X208" s="4">
        <v>8.9600000000000009</v>
      </c>
      <c r="Y208" s="4">
        <v>1183</v>
      </c>
      <c r="AB208" s="4" t="s">
        <v>175</v>
      </c>
      <c r="AC208" s="36">
        <v>0</v>
      </c>
      <c r="AD208" s="4">
        <v>5.08</v>
      </c>
      <c r="AE208" s="4">
        <v>1518</v>
      </c>
      <c r="AH208" s="4" t="s">
        <v>175</v>
      </c>
      <c r="AI208" s="36">
        <v>0</v>
      </c>
      <c r="AJ208" s="4">
        <v>0</v>
      </c>
      <c r="AK208" s="4" t="s">
        <v>180</v>
      </c>
    </row>
    <row r="209" spans="1:37" x14ac:dyDescent="0.2">
      <c r="A209" s="34">
        <v>2</v>
      </c>
      <c r="B209" s="11" t="s">
        <v>129</v>
      </c>
      <c r="C209" s="4">
        <v>2</v>
      </c>
      <c r="D209" s="4" t="s">
        <v>173</v>
      </c>
      <c r="E209" s="36">
        <v>0.97119999999999995</v>
      </c>
      <c r="F209" s="4">
        <v>16.09</v>
      </c>
      <c r="G209" s="4">
        <v>3943</v>
      </c>
      <c r="J209" s="4" t="s">
        <v>175</v>
      </c>
      <c r="K209" s="36">
        <v>0</v>
      </c>
      <c r="L209" s="4">
        <v>41.14</v>
      </c>
      <c r="M209" s="4">
        <v>5659</v>
      </c>
      <c r="P209" s="4" t="s">
        <v>173</v>
      </c>
      <c r="Q209" s="36">
        <v>0.27650000000000002</v>
      </c>
      <c r="R209" s="4">
        <v>3.13</v>
      </c>
      <c r="S209" s="4">
        <v>1365</v>
      </c>
      <c r="V209" s="4" t="s">
        <v>173</v>
      </c>
      <c r="W209" s="36">
        <v>0.8881</v>
      </c>
      <c r="X209" s="4">
        <v>7.38</v>
      </c>
      <c r="Y209" s="4">
        <v>1178</v>
      </c>
      <c r="AB209" s="4" t="s">
        <v>175</v>
      </c>
      <c r="AC209" s="36" t="s">
        <v>6</v>
      </c>
      <c r="AD209" s="4">
        <v>0</v>
      </c>
      <c r="AE209" s="4">
        <v>0</v>
      </c>
      <c r="AH209" s="4" t="s">
        <v>173</v>
      </c>
      <c r="AI209" s="36">
        <v>0.46739999999999998</v>
      </c>
      <c r="AJ209" s="4">
        <v>3.36</v>
      </c>
      <c r="AK209" s="4" t="s">
        <v>180</v>
      </c>
    </row>
    <row r="210" spans="1:37" x14ac:dyDescent="0.2">
      <c r="A210" s="34">
        <v>3</v>
      </c>
      <c r="B210" s="11" t="s">
        <v>130</v>
      </c>
      <c r="C210" s="4">
        <v>2</v>
      </c>
      <c r="D210" s="4" t="s">
        <v>175</v>
      </c>
      <c r="E210" s="36">
        <v>0.95789999999999997</v>
      </c>
      <c r="F210" s="4">
        <v>4.0999999999999996</v>
      </c>
      <c r="G210" s="4">
        <v>1838</v>
      </c>
      <c r="J210" s="4" t="s">
        <v>175</v>
      </c>
      <c r="K210" s="36">
        <v>0</v>
      </c>
      <c r="L210" s="4">
        <v>105.06</v>
      </c>
      <c r="M210" s="4">
        <v>12778</v>
      </c>
      <c r="P210" s="4" t="s">
        <v>175</v>
      </c>
      <c r="Q210" s="36">
        <v>0.28129999999999999</v>
      </c>
      <c r="R210" s="4">
        <v>2.81</v>
      </c>
      <c r="S210" s="4">
        <v>1365</v>
      </c>
      <c r="V210" s="4" t="s">
        <v>175</v>
      </c>
      <c r="W210" s="36">
        <v>0.95330000000000004</v>
      </c>
      <c r="X210" s="4">
        <v>5.1100000000000003</v>
      </c>
      <c r="Y210" s="4">
        <v>1178</v>
      </c>
      <c r="AB210" s="4" t="s">
        <v>175</v>
      </c>
      <c r="AC210" s="36">
        <v>0</v>
      </c>
      <c r="AD210" s="4">
        <v>8.1999999999999993</v>
      </c>
      <c r="AE210" s="4">
        <v>1512</v>
      </c>
      <c r="AH210" s="4" t="s">
        <v>173</v>
      </c>
      <c r="AI210" s="36">
        <v>0.48549999999999999</v>
      </c>
      <c r="AJ210" s="4">
        <v>3.36</v>
      </c>
      <c r="AK210" s="4" t="s">
        <v>180</v>
      </c>
    </row>
    <row r="211" spans="1:37" x14ac:dyDescent="0.2">
      <c r="A211" s="34">
        <v>4</v>
      </c>
      <c r="B211" s="11" t="s">
        <v>131</v>
      </c>
      <c r="C211" s="4">
        <v>2</v>
      </c>
      <c r="D211" s="4" t="s">
        <v>173</v>
      </c>
      <c r="E211" s="36">
        <v>0.91979999999999995</v>
      </c>
      <c r="F211" s="4">
        <v>4</v>
      </c>
      <c r="G211" s="4">
        <v>1828</v>
      </c>
      <c r="J211" s="4" t="s">
        <v>173</v>
      </c>
      <c r="K211" s="36">
        <v>0.45440000000000003</v>
      </c>
      <c r="L211" s="4">
        <v>17.309999999999999</v>
      </c>
      <c r="M211" s="4">
        <v>3072</v>
      </c>
      <c r="P211" s="4" t="s">
        <v>175</v>
      </c>
      <c r="Q211" s="36">
        <v>0.25119999999999998</v>
      </c>
      <c r="R211" s="4">
        <v>2.56</v>
      </c>
      <c r="S211" s="4">
        <v>1369</v>
      </c>
      <c r="V211" s="4" t="s">
        <v>173</v>
      </c>
      <c r="W211" s="36">
        <v>0.91969999999999996</v>
      </c>
      <c r="X211" s="4">
        <v>4.51</v>
      </c>
      <c r="Y211" s="4">
        <v>1183</v>
      </c>
      <c r="AB211" s="4" t="s">
        <v>173</v>
      </c>
      <c r="AC211" s="36">
        <v>0.4219</v>
      </c>
      <c r="AD211" s="4">
        <v>5.55</v>
      </c>
      <c r="AE211" s="4">
        <v>1516</v>
      </c>
      <c r="AH211" s="4" t="s">
        <v>173</v>
      </c>
      <c r="AI211" s="36">
        <v>0.21060000000000001</v>
      </c>
      <c r="AJ211" s="4">
        <v>3.46</v>
      </c>
      <c r="AK211" s="4" t="s">
        <v>180</v>
      </c>
    </row>
    <row r="212" spans="1:37" x14ac:dyDescent="0.2">
      <c r="A212" s="34">
        <v>5</v>
      </c>
      <c r="B212" s="11" t="s">
        <v>132</v>
      </c>
      <c r="C212" s="4">
        <v>2</v>
      </c>
      <c r="D212" s="4" t="s">
        <v>173</v>
      </c>
      <c r="E212" s="36">
        <v>0.97729999999999995</v>
      </c>
      <c r="F212" s="4">
        <v>9.64</v>
      </c>
      <c r="G212" s="4">
        <v>2905</v>
      </c>
      <c r="J212" s="4" t="s">
        <v>173</v>
      </c>
      <c r="K212" s="36">
        <v>0.6179</v>
      </c>
      <c r="L212" s="4">
        <v>117.56</v>
      </c>
      <c r="M212" s="4">
        <v>14294</v>
      </c>
      <c r="P212" s="4" t="s">
        <v>175</v>
      </c>
      <c r="Q212" s="36">
        <v>0.29220000000000002</v>
      </c>
      <c r="R212" s="4">
        <v>2.87</v>
      </c>
      <c r="S212" s="4">
        <v>1367</v>
      </c>
      <c r="V212" s="4" t="s">
        <v>173</v>
      </c>
      <c r="W212" s="36">
        <v>0.95509999999999995</v>
      </c>
      <c r="X212" s="4">
        <v>4.47</v>
      </c>
      <c r="Y212" s="4">
        <v>1180</v>
      </c>
      <c r="AB212" s="4" t="s">
        <v>175</v>
      </c>
      <c r="AC212" s="36">
        <v>0</v>
      </c>
      <c r="AD212" s="4">
        <v>5.42</v>
      </c>
      <c r="AE212" s="4">
        <v>1516</v>
      </c>
      <c r="AH212" s="4" t="s">
        <v>173</v>
      </c>
      <c r="AI212" s="36">
        <v>0.44579999999999997</v>
      </c>
      <c r="AJ212" s="4">
        <v>3.4</v>
      </c>
      <c r="AK212" s="4" t="s">
        <v>180</v>
      </c>
    </row>
    <row r="213" spans="1:37" x14ac:dyDescent="0.2">
      <c r="A213" s="34">
        <v>6</v>
      </c>
      <c r="B213" s="11" t="s">
        <v>133</v>
      </c>
      <c r="C213" s="4">
        <v>2</v>
      </c>
      <c r="D213" s="4" t="s">
        <v>173</v>
      </c>
      <c r="E213" s="36">
        <v>0.92</v>
      </c>
      <c r="F213" s="4">
        <v>9.2200000000000006</v>
      </c>
      <c r="G213" s="4">
        <v>2908</v>
      </c>
      <c r="J213" s="4" t="s">
        <v>173</v>
      </c>
      <c r="K213" s="36">
        <v>0.97219999999999995</v>
      </c>
      <c r="L213" s="4">
        <v>9.2200000000000006</v>
      </c>
      <c r="M213" s="4">
        <v>2163</v>
      </c>
      <c r="P213" s="4" t="s">
        <v>175</v>
      </c>
      <c r="Q213" s="36">
        <v>0</v>
      </c>
      <c r="R213" s="4">
        <v>2.76</v>
      </c>
      <c r="S213" s="4">
        <v>1367</v>
      </c>
      <c r="V213" s="4" t="s">
        <v>173</v>
      </c>
      <c r="W213" s="36">
        <v>0.88990000000000002</v>
      </c>
      <c r="X213" s="4">
        <v>4.55</v>
      </c>
      <c r="Y213" s="4">
        <v>1179</v>
      </c>
      <c r="AB213" s="4" t="s">
        <v>175</v>
      </c>
      <c r="AC213" s="36">
        <v>0</v>
      </c>
      <c r="AD213" s="4">
        <v>3.48</v>
      </c>
      <c r="AE213" s="4">
        <v>1517</v>
      </c>
      <c r="AH213" s="4" t="s">
        <v>173</v>
      </c>
      <c r="AI213" s="36">
        <v>0.37440000000000001</v>
      </c>
      <c r="AJ213" s="4">
        <v>3.39</v>
      </c>
      <c r="AK213" s="4" t="s">
        <v>180</v>
      </c>
    </row>
    <row r="214" spans="1:37" x14ac:dyDescent="0.2">
      <c r="A214" s="34">
        <v>7</v>
      </c>
      <c r="B214" s="11" t="s">
        <v>134</v>
      </c>
      <c r="C214" s="4">
        <v>2</v>
      </c>
      <c r="D214" s="4" t="s">
        <v>173</v>
      </c>
      <c r="E214" s="36">
        <v>0.9375</v>
      </c>
      <c r="F214" s="4">
        <v>16.73</v>
      </c>
      <c r="G214" s="4">
        <v>4045</v>
      </c>
      <c r="J214" s="4" t="s">
        <v>175</v>
      </c>
      <c r="K214" s="36">
        <v>0</v>
      </c>
      <c r="L214" s="4">
        <v>104.12</v>
      </c>
      <c r="M214" s="4">
        <v>12814</v>
      </c>
      <c r="P214" s="4" t="s">
        <v>173</v>
      </c>
      <c r="Q214" s="36">
        <v>0.49480000000000002</v>
      </c>
      <c r="R214" s="4">
        <v>2.69</v>
      </c>
      <c r="S214" s="4">
        <v>1369</v>
      </c>
      <c r="V214" s="4" t="s">
        <v>173</v>
      </c>
      <c r="W214" s="36">
        <v>0.82169999999999999</v>
      </c>
      <c r="X214" s="4">
        <v>5.45</v>
      </c>
      <c r="Y214" s="4">
        <v>1182</v>
      </c>
      <c r="AB214" s="4" t="s">
        <v>175</v>
      </c>
      <c r="AC214" s="36">
        <v>0</v>
      </c>
      <c r="AD214" s="4">
        <v>4.43</v>
      </c>
      <c r="AE214" s="4">
        <v>1516</v>
      </c>
      <c r="AH214" s="4" t="s">
        <v>173</v>
      </c>
      <c r="AI214" s="36">
        <v>0.38419999999999999</v>
      </c>
      <c r="AJ214" s="4">
        <v>3.42</v>
      </c>
      <c r="AK214" s="4" t="s">
        <v>180</v>
      </c>
    </row>
    <row r="215" spans="1:37" x14ac:dyDescent="0.2">
      <c r="A215" s="34">
        <v>8</v>
      </c>
      <c r="B215" s="11" t="s">
        <v>135</v>
      </c>
      <c r="C215" s="4">
        <v>2</v>
      </c>
      <c r="D215" s="4" t="s">
        <v>173</v>
      </c>
      <c r="E215" s="36">
        <v>0.94550000000000001</v>
      </c>
      <c r="F215" s="4">
        <v>3.66</v>
      </c>
      <c r="G215" s="4">
        <v>1794</v>
      </c>
      <c r="J215" s="4" t="s">
        <v>173</v>
      </c>
      <c r="K215" s="36">
        <v>0.9355</v>
      </c>
      <c r="L215" s="4">
        <v>34.869999999999997</v>
      </c>
      <c r="M215" s="4">
        <v>5006</v>
      </c>
      <c r="P215" s="4" t="s">
        <v>173</v>
      </c>
      <c r="Q215" s="36">
        <v>0.50119999999999998</v>
      </c>
      <c r="R215" s="4">
        <v>2.67</v>
      </c>
      <c r="S215" s="4">
        <v>1369</v>
      </c>
      <c r="V215" s="4" t="s">
        <v>173</v>
      </c>
      <c r="W215" s="36">
        <v>0.88800000000000001</v>
      </c>
      <c r="X215" s="4">
        <v>3.69</v>
      </c>
      <c r="Y215" s="4">
        <v>1182</v>
      </c>
      <c r="AB215" s="4" t="s">
        <v>175</v>
      </c>
      <c r="AC215" s="36">
        <v>0.1565</v>
      </c>
      <c r="AD215" s="4">
        <v>3.69</v>
      </c>
      <c r="AE215" s="4">
        <v>1516</v>
      </c>
      <c r="AH215" s="4" t="s">
        <v>173</v>
      </c>
      <c r="AI215" s="36">
        <v>0.43330000000000002</v>
      </c>
      <c r="AJ215" s="4">
        <v>3.43</v>
      </c>
      <c r="AK215" s="4" t="s">
        <v>180</v>
      </c>
    </row>
    <row r="216" spans="1:37" x14ac:dyDescent="0.2">
      <c r="A216" s="34">
        <v>9</v>
      </c>
      <c r="B216" s="11" t="s">
        <v>136</v>
      </c>
      <c r="C216" s="4">
        <v>2</v>
      </c>
      <c r="D216" s="4" t="s">
        <v>173</v>
      </c>
      <c r="E216" s="36">
        <v>0.93089999999999995</v>
      </c>
      <c r="F216" s="4">
        <v>4.01</v>
      </c>
      <c r="G216" s="4">
        <v>1874</v>
      </c>
      <c r="J216" s="4" t="s">
        <v>173</v>
      </c>
      <c r="K216" s="36">
        <v>0.9718</v>
      </c>
      <c r="L216" s="4">
        <v>75.180000000000007</v>
      </c>
      <c r="M216" s="4">
        <v>9398</v>
      </c>
      <c r="P216" s="4" t="s">
        <v>175</v>
      </c>
      <c r="Q216" s="36">
        <v>0</v>
      </c>
      <c r="R216" s="4">
        <v>2.86</v>
      </c>
      <c r="S216" s="4">
        <v>1367</v>
      </c>
      <c r="V216" s="4" t="s">
        <v>173</v>
      </c>
      <c r="W216" s="36">
        <v>0.8115</v>
      </c>
      <c r="X216" s="4">
        <v>3.6</v>
      </c>
      <c r="Y216" s="4">
        <v>1180</v>
      </c>
      <c r="AB216" s="4" t="s">
        <v>173</v>
      </c>
      <c r="AC216" s="36">
        <v>0.26129999999999998</v>
      </c>
      <c r="AD216" s="4">
        <v>4.63</v>
      </c>
      <c r="AE216" s="4">
        <v>1516</v>
      </c>
      <c r="AH216" s="4" t="s">
        <v>173</v>
      </c>
      <c r="AI216" s="36">
        <v>0.39319999999999999</v>
      </c>
      <c r="AJ216" s="4">
        <v>3.39</v>
      </c>
      <c r="AK216" s="4" t="s">
        <v>180</v>
      </c>
    </row>
    <row r="217" spans="1:37" x14ac:dyDescent="0.2">
      <c r="A217" s="34">
        <v>10</v>
      </c>
      <c r="B217" s="11" t="s">
        <v>137</v>
      </c>
      <c r="C217" s="4">
        <v>2</v>
      </c>
      <c r="D217" s="4" t="s">
        <v>173</v>
      </c>
      <c r="E217" s="36">
        <v>0.53200000000000003</v>
      </c>
      <c r="F217" s="4">
        <v>17.010000000000002</v>
      </c>
      <c r="G217" s="4">
        <v>4200</v>
      </c>
      <c r="J217" s="4" t="s">
        <v>173</v>
      </c>
      <c r="K217" s="36">
        <v>0.4889</v>
      </c>
      <c r="L217" s="4">
        <v>22.35</v>
      </c>
      <c r="M217" s="4">
        <v>3646</v>
      </c>
      <c r="P217" s="4" t="s">
        <v>175</v>
      </c>
      <c r="Q217" s="36">
        <v>2.0899999999999998E-2</v>
      </c>
      <c r="R217" s="4">
        <v>2.59</v>
      </c>
      <c r="S217" s="4">
        <v>1369</v>
      </c>
      <c r="V217" s="4" t="s">
        <v>173</v>
      </c>
      <c r="W217" s="36">
        <v>0.65449999999999997</v>
      </c>
      <c r="X217" s="4">
        <v>3.35</v>
      </c>
      <c r="Y217" s="4">
        <v>1182</v>
      </c>
      <c r="AB217" s="4" t="s">
        <v>175</v>
      </c>
      <c r="AC217" s="36">
        <v>0</v>
      </c>
      <c r="AD217" s="4">
        <v>5.0999999999999996</v>
      </c>
      <c r="AE217" s="4">
        <v>1516</v>
      </c>
      <c r="AH217" s="4" t="s">
        <v>173</v>
      </c>
      <c r="AI217" s="36">
        <v>9.0899999999999995E-2</v>
      </c>
      <c r="AJ217" s="4">
        <v>3.43</v>
      </c>
      <c r="AK217" s="4" t="s">
        <v>180</v>
      </c>
    </row>
    <row r="218" spans="1:37" x14ac:dyDescent="0.2">
      <c r="A218" s="34">
        <v>11</v>
      </c>
      <c r="B218" s="11" t="s">
        <v>138</v>
      </c>
      <c r="C218" s="4">
        <v>2</v>
      </c>
      <c r="D218" s="4" t="s">
        <v>173</v>
      </c>
      <c r="E218" s="36">
        <v>0.86409999999999998</v>
      </c>
      <c r="F218" s="4">
        <v>4.38</v>
      </c>
      <c r="G218" s="4">
        <v>1928</v>
      </c>
      <c r="J218" s="4" t="s">
        <v>173</v>
      </c>
      <c r="K218" s="36">
        <v>0.95269999999999999</v>
      </c>
      <c r="L218" s="4">
        <v>14.24</v>
      </c>
      <c r="M218" s="4">
        <v>2771</v>
      </c>
      <c r="P218" s="4" t="s">
        <v>175</v>
      </c>
      <c r="Q218" s="36">
        <v>0</v>
      </c>
      <c r="R218" s="4">
        <v>2.75</v>
      </c>
      <c r="S218" s="4">
        <v>1367</v>
      </c>
      <c r="V218" s="4" t="s">
        <v>173</v>
      </c>
      <c r="W218" s="36">
        <v>0.8226</v>
      </c>
      <c r="X218" s="4">
        <v>3.76</v>
      </c>
      <c r="Y218" s="4">
        <v>1180</v>
      </c>
      <c r="AB218" s="4" t="s">
        <v>175</v>
      </c>
      <c r="AC218" s="36">
        <v>0</v>
      </c>
      <c r="AD218" s="4">
        <v>4.63</v>
      </c>
      <c r="AE218" s="4">
        <v>1516</v>
      </c>
      <c r="AH218" s="4" t="s">
        <v>173</v>
      </c>
      <c r="AI218" s="36">
        <v>0.36270000000000002</v>
      </c>
      <c r="AJ218" s="4">
        <v>3.4</v>
      </c>
      <c r="AK218" s="4" t="s">
        <v>180</v>
      </c>
    </row>
    <row r="219" spans="1:37" x14ac:dyDescent="0.2">
      <c r="A219" s="34">
        <v>12</v>
      </c>
      <c r="B219" s="11" t="s">
        <v>139</v>
      </c>
      <c r="C219" s="4">
        <v>2</v>
      </c>
      <c r="D219" s="4" t="s">
        <v>173</v>
      </c>
      <c r="E219" s="36">
        <v>0.34039999999999998</v>
      </c>
      <c r="F219" s="4">
        <v>9.18</v>
      </c>
      <c r="G219" s="4">
        <v>2745</v>
      </c>
      <c r="J219" s="4" t="s">
        <v>173</v>
      </c>
      <c r="K219" s="36">
        <v>0.38519999999999999</v>
      </c>
      <c r="L219" s="4">
        <v>27.14</v>
      </c>
      <c r="M219" s="4">
        <v>4188</v>
      </c>
      <c r="P219" s="4" t="s">
        <v>175</v>
      </c>
      <c r="Q219" s="36">
        <v>0</v>
      </c>
      <c r="R219" s="4">
        <v>2.8</v>
      </c>
      <c r="S219" s="4">
        <v>1373</v>
      </c>
      <c r="V219" s="4" t="s">
        <v>173</v>
      </c>
      <c r="W219" s="36">
        <v>0.64939999999999998</v>
      </c>
      <c r="X219" s="4">
        <v>9.01</v>
      </c>
      <c r="Y219" s="4">
        <v>1186</v>
      </c>
      <c r="AB219" s="4" t="s">
        <v>175</v>
      </c>
      <c r="AC219" s="36">
        <v>0</v>
      </c>
      <c r="AD219" s="4">
        <v>4.8</v>
      </c>
      <c r="AE219" s="4">
        <v>1522</v>
      </c>
      <c r="AH219" s="4" t="s">
        <v>173</v>
      </c>
      <c r="AI219" s="36">
        <v>0.1714</v>
      </c>
      <c r="AJ219" s="4">
        <v>3.54</v>
      </c>
      <c r="AK219" s="4" t="s">
        <v>180</v>
      </c>
    </row>
    <row r="220" spans="1:37" x14ac:dyDescent="0.2">
      <c r="A220" s="34">
        <v>13</v>
      </c>
      <c r="B220" s="11" t="s">
        <v>140</v>
      </c>
      <c r="C220" s="4">
        <v>2</v>
      </c>
      <c r="D220" s="4" t="s">
        <v>173</v>
      </c>
      <c r="E220" s="36">
        <v>0.50590000000000002</v>
      </c>
      <c r="F220" s="4">
        <v>5.66</v>
      </c>
      <c r="G220" s="4">
        <v>2162</v>
      </c>
      <c r="J220" s="4" t="s">
        <v>173</v>
      </c>
      <c r="K220" s="36">
        <v>0.92669999999999997</v>
      </c>
      <c r="L220" s="4">
        <v>12.29</v>
      </c>
      <c r="M220" s="4">
        <v>2579</v>
      </c>
      <c r="P220" s="4" t="s">
        <v>175</v>
      </c>
      <c r="Q220" s="36">
        <v>0</v>
      </c>
      <c r="R220" s="4">
        <v>2.87</v>
      </c>
      <c r="S220" s="4">
        <v>1371</v>
      </c>
      <c r="V220" s="4" t="s">
        <v>173</v>
      </c>
      <c r="W220" s="36">
        <v>0.90620000000000001</v>
      </c>
      <c r="X220" s="4">
        <v>12.49</v>
      </c>
      <c r="Y220" s="4">
        <v>1182</v>
      </c>
      <c r="AB220" s="4" t="s">
        <v>173</v>
      </c>
      <c r="AC220" s="36">
        <v>0.39679999999999999</v>
      </c>
      <c r="AD220" s="4">
        <v>4.87</v>
      </c>
      <c r="AE220" s="4">
        <v>1520</v>
      </c>
      <c r="AH220" s="4" t="s">
        <v>173</v>
      </c>
      <c r="AI220" s="36">
        <v>0.30709999999999998</v>
      </c>
      <c r="AJ220" s="4">
        <v>3.37</v>
      </c>
      <c r="AK220" s="4" t="s">
        <v>180</v>
      </c>
    </row>
    <row r="221" spans="1:37" x14ac:dyDescent="0.2">
      <c r="A221" s="34">
        <v>14</v>
      </c>
      <c r="B221" s="11" t="s">
        <v>141</v>
      </c>
      <c r="C221" s="4">
        <v>2</v>
      </c>
      <c r="D221" s="4" t="s">
        <v>175</v>
      </c>
      <c r="E221" s="36">
        <v>0.59209999999999996</v>
      </c>
      <c r="F221" s="4">
        <v>8.8000000000000007</v>
      </c>
      <c r="G221" s="4">
        <v>2660</v>
      </c>
      <c r="J221" s="4" t="s">
        <v>175</v>
      </c>
      <c r="K221" s="36">
        <v>0</v>
      </c>
      <c r="L221" s="4">
        <v>99.15</v>
      </c>
      <c r="M221" s="4">
        <v>11906</v>
      </c>
      <c r="P221" s="4" t="s">
        <v>173</v>
      </c>
      <c r="Q221" s="36">
        <v>0.3533</v>
      </c>
      <c r="R221" s="4">
        <v>2.67</v>
      </c>
      <c r="S221" s="4">
        <v>1366</v>
      </c>
      <c r="V221" s="4" t="s">
        <v>173</v>
      </c>
      <c r="W221" s="36">
        <v>0.96150000000000002</v>
      </c>
      <c r="X221" s="4">
        <v>4</v>
      </c>
      <c r="Y221" s="4">
        <v>1179</v>
      </c>
      <c r="AB221" s="4" t="s">
        <v>175</v>
      </c>
      <c r="AC221" s="36">
        <v>0</v>
      </c>
      <c r="AD221" s="4">
        <v>4.21</v>
      </c>
      <c r="AE221" s="4">
        <v>1514</v>
      </c>
      <c r="AH221" s="4" t="s">
        <v>173</v>
      </c>
      <c r="AI221" s="36">
        <v>0.13139999999999999</v>
      </c>
      <c r="AJ221" s="4">
        <v>3.41</v>
      </c>
      <c r="AK221" s="4" t="s">
        <v>180</v>
      </c>
    </row>
    <row r="222" spans="1:37" x14ac:dyDescent="0.2">
      <c r="A222" s="34">
        <v>15</v>
      </c>
      <c r="B222" s="11" t="s">
        <v>142</v>
      </c>
      <c r="C222" s="4">
        <v>2</v>
      </c>
      <c r="D222" s="4" t="s">
        <v>173</v>
      </c>
      <c r="E222" s="36">
        <v>0.66039999999999999</v>
      </c>
      <c r="F222" s="4">
        <v>3.6</v>
      </c>
      <c r="G222" s="4">
        <v>1737</v>
      </c>
      <c r="J222" s="4" t="s">
        <v>175</v>
      </c>
      <c r="K222" s="36">
        <v>7.0499999999999993E-2</v>
      </c>
      <c r="L222" s="4">
        <v>17.73</v>
      </c>
      <c r="M222" s="4">
        <v>3199</v>
      </c>
      <c r="P222" s="4" t="s">
        <v>175</v>
      </c>
      <c r="Q222" s="36">
        <v>0</v>
      </c>
      <c r="R222" s="4">
        <v>2.46</v>
      </c>
      <c r="S222" s="4">
        <v>1373</v>
      </c>
      <c r="V222" s="4" t="s">
        <v>173</v>
      </c>
      <c r="W222" s="36">
        <v>0.53100000000000003</v>
      </c>
      <c r="X222" s="4">
        <v>4.01</v>
      </c>
      <c r="Y222" s="4">
        <v>1186</v>
      </c>
      <c r="AB222" s="4" t="s">
        <v>175</v>
      </c>
      <c r="AC222" s="36">
        <v>0</v>
      </c>
      <c r="AD222" s="4">
        <v>4.3899999999999997</v>
      </c>
      <c r="AE222" s="4">
        <v>1522</v>
      </c>
      <c r="AH222" s="4" t="s">
        <v>173</v>
      </c>
      <c r="AI222" s="36">
        <v>0.15279999999999999</v>
      </c>
      <c r="AJ222" s="4">
        <v>3.51</v>
      </c>
      <c r="AK222" s="4" t="s">
        <v>180</v>
      </c>
    </row>
    <row r="223" spans="1:37" x14ac:dyDescent="0.2">
      <c r="A223" s="34">
        <v>16</v>
      </c>
      <c r="B223" s="11" t="s">
        <v>143</v>
      </c>
      <c r="C223" s="4">
        <v>2</v>
      </c>
      <c r="D223" s="4" t="s">
        <v>173</v>
      </c>
      <c r="E223" s="36">
        <v>0.2417</v>
      </c>
      <c r="F223" s="4">
        <v>5.74</v>
      </c>
      <c r="G223" s="4">
        <v>2114</v>
      </c>
      <c r="J223" s="4" t="s">
        <v>173</v>
      </c>
      <c r="K223" s="36">
        <v>0.8357</v>
      </c>
      <c r="L223" s="4">
        <v>34.28</v>
      </c>
      <c r="M223" s="4">
        <v>4880</v>
      </c>
      <c r="P223" s="4" t="s">
        <v>175</v>
      </c>
      <c r="Q223" s="36">
        <v>4.8800000000000003E-2</v>
      </c>
      <c r="R223" s="4">
        <v>3.38</v>
      </c>
      <c r="S223" s="4">
        <v>1368</v>
      </c>
      <c r="V223" s="4" t="s">
        <v>173</v>
      </c>
      <c r="W223" s="36">
        <v>0.67410000000000003</v>
      </c>
      <c r="X223" s="4">
        <v>4.62</v>
      </c>
      <c r="Y223" s="4">
        <v>1178</v>
      </c>
      <c r="AB223" s="4" t="s">
        <v>175</v>
      </c>
      <c r="AC223" s="36">
        <v>0.26350000000000001</v>
      </c>
      <c r="AD223" s="4">
        <v>3.5</v>
      </c>
      <c r="AE223" s="4">
        <v>1517</v>
      </c>
      <c r="AH223" s="4" t="s">
        <v>175</v>
      </c>
      <c r="AI223" s="36">
        <v>0</v>
      </c>
      <c r="AJ223" s="4">
        <v>9.25</v>
      </c>
      <c r="AK223" s="4" t="s">
        <v>180</v>
      </c>
    </row>
    <row r="224" spans="1:37" x14ac:dyDescent="0.2">
      <c r="A224" s="34">
        <v>17</v>
      </c>
      <c r="B224" s="11" t="s">
        <v>144</v>
      </c>
      <c r="C224" s="4">
        <v>2</v>
      </c>
      <c r="D224" s="4" t="s">
        <v>173</v>
      </c>
      <c r="E224" s="36">
        <v>0.7671</v>
      </c>
      <c r="F224" s="4">
        <v>6.07</v>
      </c>
      <c r="G224" s="4">
        <v>2228</v>
      </c>
      <c r="J224" s="4" t="s">
        <v>173</v>
      </c>
      <c r="K224" s="36">
        <v>0.52359999999999995</v>
      </c>
      <c r="L224" s="4">
        <v>52.38</v>
      </c>
      <c r="M224" s="4">
        <v>6756</v>
      </c>
      <c r="P224" s="4" t="s">
        <v>175</v>
      </c>
      <c r="Q224" s="36">
        <v>0</v>
      </c>
      <c r="R224" s="4">
        <v>2.79</v>
      </c>
      <c r="S224" s="4">
        <v>1377</v>
      </c>
      <c r="V224" s="4" t="s">
        <v>173</v>
      </c>
      <c r="W224" s="36">
        <v>0.58850000000000002</v>
      </c>
      <c r="X224" s="4">
        <v>5.34</v>
      </c>
      <c r="Y224" s="4">
        <v>1190</v>
      </c>
      <c r="AB224" s="4" t="s">
        <v>175</v>
      </c>
      <c r="AC224" s="36">
        <v>0</v>
      </c>
      <c r="AD224" s="4">
        <v>4.74</v>
      </c>
      <c r="AE224" s="4">
        <v>1528</v>
      </c>
      <c r="AH224" s="4" t="s">
        <v>173</v>
      </c>
      <c r="AI224" s="36">
        <v>0</v>
      </c>
      <c r="AJ224" s="4">
        <v>3.58</v>
      </c>
      <c r="AK224" s="4" t="s">
        <v>180</v>
      </c>
    </row>
    <row r="225" spans="1:38" x14ac:dyDescent="0.2">
      <c r="A225" s="34">
        <v>18</v>
      </c>
      <c r="B225" s="11" t="s">
        <v>145</v>
      </c>
      <c r="C225" s="4">
        <v>2</v>
      </c>
      <c r="D225" s="4" t="s">
        <v>173</v>
      </c>
      <c r="E225" s="36">
        <v>0.62019999999999997</v>
      </c>
      <c r="F225" s="4">
        <v>8.6199999999999992</v>
      </c>
      <c r="G225" s="4">
        <v>2681</v>
      </c>
      <c r="J225" s="4" t="s">
        <v>173</v>
      </c>
      <c r="K225" s="36">
        <v>0.68530000000000002</v>
      </c>
      <c r="L225" s="4">
        <v>27.97</v>
      </c>
      <c r="M225" s="4">
        <v>4125</v>
      </c>
      <c r="P225" s="4" t="s">
        <v>175</v>
      </c>
      <c r="Q225" s="36">
        <v>6.4699999999999994E-2</v>
      </c>
      <c r="R225" s="4">
        <v>2.68</v>
      </c>
      <c r="S225" s="4">
        <v>1377</v>
      </c>
      <c r="V225" s="4" t="s">
        <v>173</v>
      </c>
      <c r="W225" s="36">
        <v>0.81059999999999999</v>
      </c>
      <c r="X225" s="4">
        <v>4.5999999999999996</v>
      </c>
      <c r="Y225" s="4">
        <v>1190</v>
      </c>
      <c r="AB225" s="4" t="s">
        <v>175</v>
      </c>
      <c r="AC225" s="36">
        <v>0</v>
      </c>
      <c r="AD225" s="4">
        <v>5.42</v>
      </c>
      <c r="AE225" s="4">
        <v>1528</v>
      </c>
      <c r="AH225" s="4" t="s">
        <v>173</v>
      </c>
      <c r="AI225" s="36">
        <v>0.53779999999999994</v>
      </c>
      <c r="AJ225" s="4">
        <v>3.58</v>
      </c>
      <c r="AK225" s="4" t="s">
        <v>180</v>
      </c>
    </row>
    <row r="226" spans="1:38" x14ac:dyDescent="0.2">
      <c r="A226" s="34">
        <v>19</v>
      </c>
      <c r="B226" s="11" t="s">
        <v>138</v>
      </c>
      <c r="C226" s="4">
        <v>2</v>
      </c>
      <c r="D226" s="4" t="s">
        <v>175</v>
      </c>
      <c r="E226" s="36">
        <v>0.90390000000000004</v>
      </c>
      <c r="F226" s="4">
        <v>5.64</v>
      </c>
      <c r="G226" s="4">
        <v>2099</v>
      </c>
      <c r="J226" s="4" t="s">
        <v>175</v>
      </c>
      <c r="K226" s="36">
        <v>0.91710000000000003</v>
      </c>
      <c r="L226" s="4">
        <v>14.13</v>
      </c>
      <c r="M226" s="4">
        <v>2699</v>
      </c>
      <c r="P226" s="4" t="s">
        <v>175</v>
      </c>
      <c r="Q226" s="36">
        <v>0</v>
      </c>
      <c r="R226" s="4">
        <v>2.2799999999999998</v>
      </c>
      <c r="S226" s="4">
        <v>1370</v>
      </c>
      <c r="V226" s="4" t="s">
        <v>173</v>
      </c>
      <c r="W226" s="36">
        <v>0.91610000000000003</v>
      </c>
      <c r="X226" s="4">
        <v>11.67</v>
      </c>
      <c r="Y226" s="4">
        <v>1180</v>
      </c>
      <c r="AB226" s="4" t="s">
        <v>175</v>
      </c>
      <c r="AC226" s="36">
        <v>0</v>
      </c>
      <c r="AD226" s="4">
        <v>3.52</v>
      </c>
      <c r="AE226" s="4">
        <v>1518</v>
      </c>
      <c r="AH226" s="4" t="s">
        <v>175</v>
      </c>
      <c r="AI226" s="36">
        <v>0.39800000000000002</v>
      </c>
      <c r="AJ226" s="4">
        <v>3.41</v>
      </c>
      <c r="AK226" s="4" t="s">
        <v>180</v>
      </c>
    </row>
    <row r="227" spans="1:38" x14ac:dyDescent="0.2">
      <c r="A227" s="34">
        <v>20</v>
      </c>
      <c r="B227" s="11" t="s">
        <v>137</v>
      </c>
      <c r="C227" s="4">
        <v>2</v>
      </c>
      <c r="D227" s="4" t="s">
        <v>173</v>
      </c>
      <c r="E227" s="36">
        <v>0.89459999999999995</v>
      </c>
      <c r="F227" s="4">
        <v>4.6100000000000003</v>
      </c>
      <c r="G227" s="4">
        <v>1901</v>
      </c>
      <c r="J227" s="4" t="s">
        <v>173</v>
      </c>
      <c r="K227" s="36">
        <v>0.90239999999999998</v>
      </c>
      <c r="L227" s="4">
        <v>21.74</v>
      </c>
      <c r="M227" s="4">
        <v>3469</v>
      </c>
      <c r="P227" s="4" t="s">
        <v>175</v>
      </c>
      <c r="Q227" s="36">
        <v>5.4000000000000003E-3</v>
      </c>
      <c r="R227" s="4">
        <v>3.59</v>
      </c>
      <c r="S227" s="4">
        <v>1372</v>
      </c>
      <c r="V227" s="4" t="s">
        <v>173</v>
      </c>
      <c r="W227" s="36">
        <v>0.75139999999999996</v>
      </c>
      <c r="X227" s="4">
        <v>4.57</v>
      </c>
      <c r="Y227" s="4">
        <v>1183</v>
      </c>
      <c r="AB227" s="4" t="s">
        <v>175</v>
      </c>
      <c r="AC227" s="36">
        <v>0</v>
      </c>
      <c r="AD227" s="4">
        <v>3.51</v>
      </c>
      <c r="AE227" s="4">
        <v>1519</v>
      </c>
      <c r="AH227" s="4" t="s">
        <v>175</v>
      </c>
      <c r="AI227" s="36">
        <v>0</v>
      </c>
      <c r="AJ227" s="4">
        <v>3.44</v>
      </c>
      <c r="AK227" s="4" t="s">
        <v>180</v>
      </c>
    </row>
    <row r="228" spans="1:38" x14ac:dyDescent="0.2">
      <c r="A228" s="34">
        <v>21</v>
      </c>
      <c r="B228" s="11" t="s">
        <v>146</v>
      </c>
      <c r="C228" s="4">
        <v>2</v>
      </c>
      <c r="D228" s="4" t="s">
        <v>173</v>
      </c>
      <c r="E228" s="36">
        <v>0.93</v>
      </c>
      <c r="F228" s="4">
        <v>4.93</v>
      </c>
      <c r="G228" s="4">
        <v>2043</v>
      </c>
      <c r="J228" s="4" t="s">
        <v>173</v>
      </c>
      <c r="K228" s="36">
        <v>0.80669999999999997</v>
      </c>
      <c r="L228" s="4">
        <v>34.950000000000003</v>
      </c>
      <c r="M228" s="4">
        <v>4945</v>
      </c>
      <c r="P228" s="4" t="s">
        <v>175</v>
      </c>
      <c r="Q228" s="36">
        <v>0</v>
      </c>
      <c r="R228" s="4">
        <v>2.5499999999999998</v>
      </c>
      <c r="S228" s="4">
        <v>1371</v>
      </c>
      <c r="V228" s="4" t="s">
        <v>175</v>
      </c>
      <c r="W228" s="36">
        <v>0</v>
      </c>
      <c r="X228" s="4">
        <v>4.54</v>
      </c>
      <c r="Y228" s="4">
        <v>1184</v>
      </c>
      <c r="AB228" s="4" t="s">
        <v>175</v>
      </c>
      <c r="AC228" s="36">
        <v>0</v>
      </c>
      <c r="AD228" s="4">
        <v>3.72</v>
      </c>
      <c r="AE228" s="4">
        <v>1522</v>
      </c>
      <c r="AH228" s="4" t="s">
        <v>175</v>
      </c>
      <c r="AI228" s="36">
        <v>0</v>
      </c>
      <c r="AJ228" s="4">
        <v>3.52</v>
      </c>
      <c r="AK228" s="4" t="s">
        <v>180</v>
      </c>
    </row>
    <row r="231" spans="1:38" x14ac:dyDescent="0.2">
      <c r="A231" s="24" t="s">
        <v>246</v>
      </c>
      <c r="D231" s="37" t="s">
        <v>222</v>
      </c>
      <c r="E231" s="38"/>
      <c r="F231" s="38"/>
      <c r="G231" s="39"/>
      <c r="H231" s="13"/>
      <c r="J231" s="37" t="s">
        <v>223</v>
      </c>
      <c r="K231" s="38"/>
      <c r="L231" s="38"/>
      <c r="M231" s="39"/>
      <c r="N231" s="13"/>
      <c r="P231" s="37" t="s">
        <v>224</v>
      </c>
      <c r="Q231" s="38"/>
      <c r="R231" s="38"/>
      <c r="S231" s="39"/>
      <c r="T231" s="13"/>
      <c r="V231" s="37" t="s">
        <v>229</v>
      </c>
      <c r="W231" s="38"/>
      <c r="X231" s="38"/>
      <c r="Y231" s="39"/>
      <c r="Z231" s="13"/>
      <c r="AB231" s="37" t="s">
        <v>230</v>
      </c>
      <c r="AC231" s="38"/>
      <c r="AD231" s="38"/>
      <c r="AE231" s="39"/>
      <c r="AH231" s="37" t="s">
        <v>231</v>
      </c>
      <c r="AI231" s="38"/>
      <c r="AJ231" s="38"/>
      <c r="AK231" s="39"/>
      <c r="AL231" s="4" t="s">
        <v>248</v>
      </c>
    </row>
    <row r="232" spans="1:38" ht="51" x14ac:dyDescent="0.2">
      <c r="A232" s="25" t="s">
        <v>215</v>
      </c>
      <c r="B232" s="29" t="s">
        <v>233</v>
      </c>
      <c r="D232" s="25" t="s">
        <v>219</v>
      </c>
      <c r="E232" s="29" t="s">
        <v>153</v>
      </c>
      <c r="F232" s="29" t="s">
        <v>155</v>
      </c>
      <c r="G232" s="25" t="s">
        <v>218</v>
      </c>
      <c r="J232" s="25" t="s">
        <v>219</v>
      </c>
      <c r="K232" s="29" t="s">
        <v>153</v>
      </c>
      <c r="L232" s="29" t="s">
        <v>155</v>
      </c>
      <c r="M232" s="25" t="s">
        <v>218</v>
      </c>
      <c r="P232" s="25" t="s">
        <v>219</v>
      </c>
      <c r="Q232" s="29" t="s">
        <v>153</v>
      </c>
      <c r="R232" s="29" t="s">
        <v>155</v>
      </c>
      <c r="S232" s="25" t="s">
        <v>218</v>
      </c>
      <c r="V232" s="25" t="s">
        <v>219</v>
      </c>
      <c r="W232" s="29" t="s">
        <v>153</v>
      </c>
      <c r="X232" s="29" t="s">
        <v>155</v>
      </c>
      <c r="Y232" s="25" t="s">
        <v>218</v>
      </c>
      <c r="AB232" s="25" t="s">
        <v>219</v>
      </c>
      <c r="AC232" s="29" t="s">
        <v>153</v>
      </c>
      <c r="AD232" s="29" t="s">
        <v>155</v>
      </c>
      <c r="AE232" s="25" t="s">
        <v>218</v>
      </c>
      <c r="AH232" s="25" t="s">
        <v>219</v>
      </c>
      <c r="AI232" s="29" t="s">
        <v>153</v>
      </c>
      <c r="AJ232" s="29" t="s">
        <v>155</v>
      </c>
      <c r="AK232" s="25" t="s">
        <v>218</v>
      </c>
    </row>
    <row r="233" spans="1:38" x14ac:dyDescent="0.2">
      <c r="A233" s="34">
        <v>1</v>
      </c>
      <c r="B233" s="12" t="s">
        <v>107</v>
      </c>
      <c r="D233" s="4">
        <v>1</v>
      </c>
      <c r="E233" s="4" t="s">
        <v>173</v>
      </c>
      <c r="F233" s="35">
        <v>4.9311258792877197</v>
      </c>
      <c r="G233" s="4">
        <v>2570</v>
      </c>
      <c r="J233" s="4">
        <v>1</v>
      </c>
      <c r="K233" s="4" t="s">
        <v>173</v>
      </c>
      <c r="L233" s="35">
        <v>11.6961479187012</v>
      </c>
      <c r="M233" s="4">
        <v>2804</v>
      </c>
      <c r="P233" s="4">
        <v>1</v>
      </c>
      <c r="Q233" s="4" t="s">
        <v>175</v>
      </c>
      <c r="R233" s="35">
        <v>8.0439825057983398</v>
      </c>
      <c r="S233" s="4">
        <v>1709</v>
      </c>
      <c r="V233" s="4">
        <v>1</v>
      </c>
      <c r="W233" s="4" t="s">
        <v>173</v>
      </c>
      <c r="X233" s="35">
        <v>9.1482217311859095</v>
      </c>
      <c r="Y233" s="4">
        <v>1600</v>
      </c>
      <c r="AB233" s="4">
        <v>1</v>
      </c>
      <c r="AC233" s="4" t="s">
        <v>175</v>
      </c>
      <c r="AD233" s="35">
        <v>7.6301934719085702</v>
      </c>
      <c r="AE233" s="4">
        <v>1855</v>
      </c>
      <c r="AH233" s="4">
        <v>1</v>
      </c>
      <c r="AI233" s="4" t="s">
        <v>173</v>
      </c>
      <c r="AK233" s="4" t="s">
        <v>180</v>
      </c>
    </row>
    <row r="234" spans="1:38" x14ac:dyDescent="0.2">
      <c r="A234" s="34">
        <v>2</v>
      </c>
      <c r="B234" s="12" t="s">
        <v>108</v>
      </c>
      <c r="D234" s="4">
        <v>1</v>
      </c>
      <c r="E234" s="4" t="s">
        <v>173</v>
      </c>
      <c r="F234" s="35">
        <v>6.6743216514587402</v>
      </c>
      <c r="G234" s="4">
        <v>2867</v>
      </c>
      <c r="J234" s="4">
        <v>1</v>
      </c>
      <c r="K234" s="4" t="s">
        <v>173</v>
      </c>
      <c r="L234" s="35">
        <v>15.7332217693329</v>
      </c>
      <c r="M234" s="4">
        <v>3108</v>
      </c>
      <c r="P234" s="4">
        <v>1</v>
      </c>
      <c r="Q234" s="4" t="s">
        <v>175</v>
      </c>
      <c r="R234" s="35">
        <v>8.6959407329559308</v>
      </c>
      <c r="S234" s="4">
        <v>1527</v>
      </c>
      <c r="V234" s="4">
        <v>1</v>
      </c>
      <c r="W234" s="4" t="s">
        <v>173</v>
      </c>
      <c r="X234" s="35">
        <v>10.9288811683655</v>
      </c>
      <c r="Y234" s="4">
        <v>1433</v>
      </c>
      <c r="AB234" s="4">
        <v>1</v>
      </c>
      <c r="AC234" s="4" t="s">
        <v>175</v>
      </c>
      <c r="AD234" s="35">
        <v>8.58555006980896</v>
      </c>
      <c r="AE234" s="4">
        <v>1656</v>
      </c>
      <c r="AH234" s="4">
        <v>1</v>
      </c>
      <c r="AI234" s="4" t="s">
        <v>173</v>
      </c>
      <c r="AJ234" s="35">
        <v>16.867360830307</v>
      </c>
      <c r="AK234" s="4" t="s">
        <v>180</v>
      </c>
    </row>
    <row r="235" spans="1:38" x14ac:dyDescent="0.2">
      <c r="A235" s="34">
        <v>3</v>
      </c>
      <c r="B235" s="12" t="s">
        <v>81</v>
      </c>
      <c r="D235" s="4">
        <v>1</v>
      </c>
      <c r="E235" s="4" t="s">
        <v>173</v>
      </c>
      <c r="F235" s="35">
        <v>5.20249223709106</v>
      </c>
      <c r="G235" s="4">
        <v>2604</v>
      </c>
      <c r="J235" s="4">
        <v>1</v>
      </c>
      <c r="K235" s="4" t="s">
        <v>173</v>
      </c>
      <c r="L235" s="35">
        <v>15.350069999694799</v>
      </c>
      <c r="M235" s="4">
        <v>3070</v>
      </c>
      <c r="P235" s="4">
        <v>1</v>
      </c>
      <c r="Q235" s="4" t="s">
        <v>173</v>
      </c>
      <c r="R235" s="35">
        <v>6.6251673698425302</v>
      </c>
      <c r="S235" s="4">
        <v>1853</v>
      </c>
      <c r="V235" s="4">
        <v>1</v>
      </c>
      <c r="W235" s="4" t="s">
        <v>173</v>
      </c>
      <c r="X235" s="35">
        <v>6.88405561447144</v>
      </c>
      <c r="Y235" s="4">
        <v>1698</v>
      </c>
      <c r="AB235" s="4">
        <v>1</v>
      </c>
      <c r="AC235" s="4" t="s">
        <v>175</v>
      </c>
      <c r="AD235" s="35">
        <v>7.8845586776733398</v>
      </c>
      <c r="AE235" s="4">
        <v>2057</v>
      </c>
      <c r="AH235" s="4">
        <v>1</v>
      </c>
      <c r="AI235" s="4" t="s">
        <v>173</v>
      </c>
      <c r="AJ235" s="35">
        <v>14.4171624183655</v>
      </c>
      <c r="AK235" s="4" t="s">
        <v>180</v>
      </c>
    </row>
    <row r="236" spans="1:38" x14ac:dyDescent="0.2">
      <c r="A236" s="34">
        <v>4</v>
      </c>
      <c r="B236" s="12" t="s">
        <v>109</v>
      </c>
      <c r="D236" s="4">
        <v>1</v>
      </c>
      <c r="E236" s="4" t="s">
        <v>173</v>
      </c>
      <c r="F236" s="35">
        <v>3.9205338954925502</v>
      </c>
      <c r="G236" s="4">
        <v>2356</v>
      </c>
      <c r="J236" s="4">
        <v>1</v>
      </c>
      <c r="K236" s="4" t="s">
        <v>173</v>
      </c>
      <c r="L236" s="35">
        <v>13.312108039856</v>
      </c>
      <c r="M236" s="4">
        <v>2971</v>
      </c>
      <c r="P236" s="4">
        <v>1</v>
      </c>
      <c r="Q236" s="4" t="s">
        <v>173</v>
      </c>
      <c r="R236" s="35">
        <v>6.1431953907012904</v>
      </c>
      <c r="S236" s="4">
        <v>1354</v>
      </c>
      <c r="V236" s="4">
        <v>1</v>
      </c>
      <c r="W236" s="4" t="s">
        <v>173</v>
      </c>
      <c r="X236" s="35">
        <v>8.2935240268707293</v>
      </c>
      <c r="Y236" s="4">
        <v>1322</v>
      </c>
      <c r="AB236" s="4">
        <v>1</v>
      </c>
      <c r="AC236" s="4" t="s">
        <v>173</v>
      </c>
      <c r="AD236" s="35">
        <v>8.3975670337677002</v>
      </c>
      <c r="AE236" s="4">
        <v>1483</v>
      </c>
      <c r="AH236" s="4">
        <v>1</v>
      </c>
      <c r="AI236" s="4" t="s">
        <v>175</v>
      </c>
      <c r="AJ236" s="35">
        <v>14.544337272644</v>
      </c>
      <c r="AK236" s="4" t="s">
        <v>180</v>
      </c>
    </row>
    <row r="237" spans="1:38" x14ac:dyDescent="0.2">
      <c r="A237" s="34">
        <v>5</v>
      </c>
      <c r="B237" s="12" t="s">
        <v>110</v>
      </c>
      <c r="D237" s="4">
        <v>1</v>
      </c>
      <c r="E237" s="4" t="s">
        <v>173</v>
      </c>
      <c r="F237" s="35">
        <v>20.0408790111542</v>
      </c>
      <c r="G237" s="4">
        <v>5306</v>
      </c>
      <c r="J237" s="4">
        <v>1</v>
      </c>
      <c r="K237" s="4" t="s">
        <v>175</v>
      </c>
      <c r="L237" s="35">
        <v>40.871156692504897</v>
      </c>
      <c r="M237" s="4">
        <v>5298</v>
      </c>
      <c r="P237" s="4">
        <v>1</v>
      </c>
      <c r="Q237" s="4" t="s">
        <v>173</v>
      </c>
      <c r="R237" s="35">
        <v>7.70662498474121</v>
      </c>
      <c r="S237" s="4">
        <v>1492</v>
      </c>
      <c r="V237" s="4">
        <v>1</v>
      </c>
      <c r="W237" s="4" t="s">
        <v>175</v>
      </c>
      <c r="X237" s="35">
        <v>7.8506677150726301</v>
      </c>
      <c r="Y237" s="4">
        <v>1411</v>
      </c>
      <c r="AB237" s="4">
        <v>1</v>
      </c>
      <c r="AC237" s="4" t="s">
        <v>173</v>
      </c>
      <c r="AD237" s="35">
        <v>7.0659043788909903</v>
      </c>
      <c r="AE237" s="4">
        <v>1658</v>
      </c>
      <c r="AH237" s="4">
        <v>1</v>
      </c>
      <c r="AI237" s="4" t="s">
        <v>175</v>
      </c>
      <c r="AJ237" s="35">
        <v>13.721880912780801</v>
      </c>
      <c r="AK237" s="4" t="s">
        <v>180</v>
      </c>
    </row>
    <row r="238" spans="1:38" x14ac:dyDescent="0.2">
      <c r="A238" s="34">
        <v>6</v>
      </c>
      <c r="B238" s="12" t="s">
        <v>77</v>
      </c>
      <c r="D238" s="4">
        <v>1</v>
      </c>
      <c r="E238" s="4" t="s">
        <v>173</v>
      </c>
      <c r="F238" s="35">
        <v>3.9925088882446298</v>
      </c>
      <c r="G238" s="4">
        <v>2449</v>
      </c>
      <c r="J238" s="4">
        <v>1</v>
      </c>
      <c r="K238" s="4" t="s">
        <v>173</v>
      </c>
      <c r="L238" s="35">
        <v>14.9385600090027</v>
      </c>
      <c r="M238" s="4">
        <v>3013</v>
      </c>
      <c r="P238" s="4">
        <v>1</v>
      </c>
      <c r="Q238" s="4" t="s">
        <v>175</v>
      </c>
      <c r="R238" s="35">
        <v>6.7065002918243399</v>
      </c>
      <c r="S238" s="4">
        <v>1628</v>
      </c>
      <c r="V238" s="4">
        <v>1</v>
      </c>
      <c r="W238" s="4" t="s">
        <v>173</v>
      </c>
      <c r="X238" s="35">
        <v>8.0210504531860405</v>
      </c>
      <c r="Y238" s="4">
        <v>1550</v>
      </c>
      <c r="AB238" s="4">
        <v>1</v>
      </c>
      <c r="AC238" s="4" t="s">
        <v>173</v>
      </c>
      <c r="AD238" s="35">
        <v>8.1901555061340297</v>
      </c>
      <c r="AE238" s="4">
        <v>1801</v>
      </c>
      <c r="AH238" s="4">
        <v>1</v>
      </c>
      <c r="AI238" s="4" t="s">
        <v>173</v>
      </c>
      <c r="AJ238" s="35">
        <v>14.8446292877197</v>
      </c>
      <c r="AK238" s="4" t="s">
        <v>180</v>
      </c>
    </row>
    <row r="239" spans="1:38" x14ac:dyDescent="0.2">
      <c r="A239" s="34">
        <v>7</v>
      </c>
      <c r="B239" s="12" t="s">
        <v>111</v>
      </c>
      <c r="D239" s="4">
        <v>1</v>
      </c>
      <c r="E239" s="4" t="s">
        <v>175</v>
      </c>
      <c r="F239" s="35">
        <v>19.196770191192599</v>
      </c>
      <c r="G239" s="4">
        <v>5042</v>
      </c>
      <c r="J239" s="4">
        <v>1</v>
      </c>
      <c r="K239" s="4" t="s">
        <v>173</v>
      </c>
      <c r="L239" s="35">
        <v>25.087668657302899</v>
      </c>
      <c r="M239" s="4">
        <v>3837</v>
      </c>
      <c r="P239" s="4">
        <v>1</v>
      </c>
      <c r="Q239" s="4" t="s">
        <v>173</v>
      </c>
      <c r="R239" s="35">
        <v>7.5002574920654297</v>
      </c>
      <c r="S239" s="4">
        <v>1536</v>
      </c>
      <c r="V239" s="4">
        <v>1</v>
      </c>
      <c r="W239" s="4" t="s">
        <v>173</v>
      </c>
      <c r="X239" s="35">
        <v>9.0124292373657209</v>
      </c>
      <c r="Y239" s="4">
        <v>1476</v>
      </c>
      <c r="AB239" s="4">
        <v>1</v>
      </c>
      <c r="AC239" s="4" t="s">
        <v>173</v>
      </c>
      <c r="AD239" s="35">
        <v>8.8107564449310303</v>
      </c>
      <c r="AE239" s="4">
        <v>1693</v>
      </c>
      <c r="AH239" s="4">
        <v>1</v>
      </c>
      <c r="AI239" s="4" t="s">
        <v>175</v>
      </c>
      <c r="AJ239" s="35">
        <v>14.3405892848969</v>
      </c>
      <c r="AK239" s="4" t="s">
        <v>180</v>
      </c>
    </row>
    <row r="240" spans="1:38" x14ac:dyDescent="0.2">
      <c r="A240" s="34">
        <v>8</v>
      </c>
      <c r="B240" s="12" t="s">
        <v>112</v>
      </c>
      <c r="D240" s="4">
        <v>1</v>
      </c>
      <c r="E240" s="4" t="s">
        <v>173</v>
      </c>
      <c r="F240" s="35">
        <v>5.6867625713348398</v>
      </c>
      <c r="G240" s="4">
        <v>2682</v>
      </c>
      <c r="J240" s="4">
        <v>1</v>
      </c>
      <c r="K240" s="4" t="s">
        <v>173</v>
      </c>
      <c r="L240" s="35">
        <v>19.763340234756502</v>
      </c>
      <c r="M240" s="4">
        <v>3478</v>
      </c>
      <c r="P240" s="4">
        <v>1</v>
      </c>
      <c r="Q240" s="4" t="s">
        <v>173</v>
      </c>
      <c r="R240" s="35">
        <v>7.7820618152618399</v>
      </c>
      <c r="S240" s="4">
        <v>1573</v>
      </c>
      <c r="V240" s="4">
        <v>1</v>
      </c>
      <c r="W240" s="4" t="s">
        <v>173</v>
      </c>
      <c r="X240" s="35">
        <v>7.2689952850341797</v>
      </c>
      <c r="Y240" s="4">
        <v>1475</v>
      </c>
      <c r="AB240" s="4">
        <v>1</v>
      </c>
      <c r="AC240" s="4" t="s">
        <v>175</v>
      </c>
      <c r="AD240" s="35">
        <v>8.39316630363464</v>
      </c>
      <c r="AE240" s="4">
        <v>1733</v>
      </c>
      <c r="AH240" s="4">
        <v>1</v>
      </c>
      <c r="AI240" s="4" t="s">
        <v>173</v>
      </c>
      <c r="AJ240" s="35">
        <v>13.650760412216201</v>
      </c>
      <c r="AK240" s="4" t="s">
        <v>180</v>
      </c>
    </row>
    <row r="241" spans="1:37" x14ac:dyDescent="0.2">
      <c r="A241" s="34">
        <v>9</v>
      </c>
      <c r="B241" s="12" t="s">
        <v>113</v>
      </c>
      <c r="D241" s="4">
        <v>1</v>
      </c>
      <c r="E241" s="4" t="s">
        <v>173</v>
      </c>
      <c r="F241" s="35">
        <v>18.945705413818398</v>
      </c>
      <c r="G241" s="4">
        <v>4788</v>
      </c>
      <c r="J241" s="4">
        <v>1</v>
      </c>
      <c r="K241" s="4" t="s">
        <v>175</v>
      </c>
      <c r="L241" s="35">
        <v>16.7949283123016</v>
      </c>
      <c r="M241" s="4">
        <v>3138</v>
      </c>
      <c r="P241" s="4">
        <v>1</v>
      </c>
      <c r="Q241" s="4" t="s">
        <v>173</v>
      </c>
      <c r="R241" s="35">
        <v>7.2381451129913303</v>
      </c>
      <c r="S241" s="4">
        <v>1645</v>
      </c>
      <c r="V241" s="4">
        <v>1</v>
      </c>
      <c r="W241" s="4" t="s">
        <v>175</v>
      </c>
      <c r="X241" s="35">
        <v>7.6808798313140896</v>
      </c>
      <c r="Y241" s="4">
        <v>1500</v>
      </c>
      <c r="AB241" s="4">
        <v>1</v>
      </c>
      <c r="AC241" s="4" t="s">
        <v>173</v>
      </c>
      <c r="AD241" s="35">
        <v>8.1919617652893102</v>
      </c>
      <c r="AE241" s="4">
        <v>1811</v>
      </c>
      <c r="AH241" s="4">
        <v>1</v>
      </c>
      <c r="AI241" s="4" t="s">
        <v>175</v>
      </c>
      <c r="AJ241" s="35">
        <v>13.439836740493799</v>
      </c>
      <c r="AK241" s="4" t="s">
        <v>180</v>
      </c>
    </row>
    <row r="242" spans="1:37" x14ac:dyDescent="0.2">
      <c r="A242" s="34">
        <v>10</v>
      </c>
      <c r="B242" s="12" t="s">
        <v>114</v>
      </c>
      <c r="D242" s="4">
        <v>1</v>
      </c>
      <c r="E242" s="4" t="s">
        <v>173</v>
      </c>
      <c r="F242" s="35">
        <v>10.647509098053</v>
      </c>
      <c r="G242" s="4">
        <v>3629</v>
      </c>
      <c r="J242" s="4">
        <v>1</v>
      </c>
      <c r="K242" s="4" t="s">
        <v>173</v>
      </c>
      <c r="L242" s="35">
        <v>27.3404269218445</v>
      </c>
      <c r="M242" s="4">
        <v>4185</v>
      </c>
      <c r="P242" s="4">
        <v>1</v>
      </c>
      <c r="Q242" s="4" t="s">
        <v>173</v>
      </c>
      <c r="R242" s="35">
        <v>7.6096999645233199</v>
      </c>
      <c r="S242" s="4">
        <v>1999</v>
      </c>
      <c r="V242" s="4">
        <v>1</v>
      </c>
      <c r="W242" s="4" t="s">
        <v>175</v>
      </c>
      <c r="X242" s="35">
        <v>9.5220215320587194</v>
      </c>
      <c r="Y242" s="4">
        <v>1827</v>
      </c>
      <c r="AB242" s="4">
        <v>1</v>
      </c>
      <c r="AC242" s="4" t="s">
        <v>173</v>
      </c>
      <c r="AD242" s="35">
        <v>7.67728996276856</v>
      </c>
      <c r="AE242" s="4">
        <v>2214</v>
      </c>
      <c r="AH242" s="4">
        <v>1</v>
      </c>
      <c r="AI242" s="4" t="s">
        <v>175</v>
      </c>
      <c r="AJ242" s="35">
        <v>14.8055851459503</v>
      </c>
      <c r="AK242" s="4" t="s">
        <v>180</v>
      </c>
    </row>
    <row r="243" spans="1:37" x14ac:dyDescent="0.2">
      <c r="A243" s="34">
        <v>11</v>
      </c>
      <c r="B243" s="12" t="s">
        <v>115</v>
      </c>
      <c r="D243" s="4">
        <v>1</v>
      </c>
      <c r="E243" s="4" t="s">
        <v>173</v>
      </c>
      <c r="F243" s="35">
        <v>19.455889940261802</v>
      </c>
      <c r="G243" s="4">
        <v>5040</v>
      </c>
      <c r="J243" s="4">
        <v>1</v>
      </c>
      <c r="K243" s="4" t="s">
        <v>175</v>
      </c>
      <c r="L243" s="35">
        <v>46.285780668258703</v>
      </c>
      <c r="M243" s="4">
        <v>5778</v>
      </c>
      <c r="P243" s="4">
        <v>1</v>
      </c>
      <c r="Q243" s="4" t="s">
        <v>173</v>
      </c>
      <c r="R243" s="35">
        <v>7.3205692768096897</v>
      </c>
      <c r="S243" s="4">
        <v>1654</v>
      </c>
      <c r="V243" s="4">
        <v>1</v>
      </c>
      <c r="W243" s="4" t="s">
        <v>175</v>
      </c>
      <c r="X243" s="35">
        <v>7.4928035736084002</v>
      </c>
      <c r="Y243" s="4">
        <v>1478</v>
      </c>
      <c r="AB243" s="4">
        <v>1</v>
      </c>
      <c r="AC243" s="4" t="s">
        <v>173</v>
      </c>
      <c r="AD243" s="35">
        <v>7.6822977066040004</v>
      </c>
      <c r="AE243" s="4">
        <v>1779</v>
      </c>
      <c r="AH243" s="4">
        <v>1</v>
      </c>
      <c r="AI243" s="4" t="s">
        <v>175</v>
      </c>
      <c r="AJ243" s="35">
        <v>16.144460201263399</v>
      </c>
      <c r="AK243" s="4" t="s">
        <v>180</v>
      </c>
    </row>
    <row r="244" spans="1:37" x14ac:dyDescent="0.2">
      <c r="A244" s="34">
        <v>12</v>
      </c>
      <c r="B244" s="12" t="s">
        <v>116</v>
      </c>
      <c r="D244" s="4">
        <v>1</v>
      </c>
      <c r="E244" s="4" t="s">
        <v>173</v>
      </c>
      <c r="F244" s="35">
        <v>5.9409582614898699</v>
      </c>
      <c r="G244" s="4">
        <v>2832</v>
      </c>
      <c r="J244" s="4">
        <v>1</v>
      </c>
      <c r="K244" s="4" t="s">
        <v>173</v>
      </c>
      <c r="L244" s="35">
        <v>24.987175464630099</v>
      </c>
      <c r="M244" s="4">
        <v>4001</v>
      </c>
      <c r="P244" s="4">
        <v>1</v>
      </c>
      <c r="Q244" s="4" t="s">
        <v>175</v>
      </c>
      <c r="R244" s="35">
        <v>7.42470502853394</v>
      </c>
      <c r="S244" s="4">
        <v>1902</v>
      </c>
      <c r="V244" s="4">
        <v>1</v>
      </c>
      <c r="W244" s="4" t="s">
        <v>173</v>
      </c>
      <c r="X244" s="35">
        <v>8.8913755416870099</v>
      </c>
      <c r="Y244" s="4">
        <v>1704</v>
      </c>
      <c r="AB244" s="4">
        <v>1</v>
      </c>
      <c r="AC244" s="4" t="s">
        <v>175</v>
      </c>
      <c r="AD244" s="35">
        <v>8.7056114673614502</v>
      </c>
      <c r="AE244" s="4">
        <v>2077</v>
      </c>
      <c r="AH244" s="4">
        <v>1</v>
      </c>
      <c r="AI244" s="4" t="s">
        <v>173</v>
      </c>
      <c r="AJ244" s="35">
        <v>14.321492433548</v>
      </c>
      <c r="AK244" s="4" t="s">
        <v>180</v>
      </c>
    </row>
    <row r="245" spans="1:37" x14ac:dyDescent="0.2">
      <c r="A245" s="34">
        <v>13</v>
      </c>
      <c r="B245" s="12" t="s">
        <v>117</v>
      </c>
      <c r="D245" s="4">
        <v>1</v>
      </c>
      <c r="E245" s="4" t="s">
        <v>173</v>
      </c>
      <c r="F245" s="35">
        <v>5.4246761798858598</v>
      </c>
      <c r="G245" s="4">
        <v>2695</v>
      </c>
      <c r="J245" s="4">
        <v>1</v>
      </c>
      <c r="K245" s="4" t="s">
        <v>173</v>
      </c>
      <c r="L245" s="35">
        <v>27.152793884277301</v>
      </c>
      <c r="M245" s="4">
        <v>4054</v>
      </c>
      <c r="P245" s="4">
        <v>1</v>
      </c>
      <c r="Q245" s="4" t="s">
        <v>173</v>
      </c>
      <c r="R245" s="35">
        <v>6.4217951297760001</v>
      </c>
      <c r="S245" s="4">
        <v>1471</v>
      </c>
      <c r="V245" s="4">
        <v>1</v>
      </c>
      <c r="W245" s="4" t="s">
        <v>175</v>
      </c>
      <c r="X245" s="35">
        <v>8.4981999397277797</v>
      </c>
      <c r="Y245" s="4">
        <v>1423</v>
      </c>
      <c r="AB245" s="4">
        <v>1</v>
      </c>
      <c r="AC245" s="4" t="s">
        <v>173</v>
      </c>
      <c r="AD245" s="35">
        <v>8.2969443798065203</v>
      </c>
      <c r="AE245" s="4">
        <v>1628</v>
      </c>
      <c r="AH245" s="4">
        <v>1</v>
      </c>
      <c r="AI245" s="4" t="s">
        <v>175</v>
      </c>
      <c r="AJ245" s="35">
        <v>13.611969947814901</v>
      </c>
      <c r="AK245" s="4" t="s">
        <v>180</v>
      </c>
    </row>
    <row r="246" spans="1:37" x14ac:dyDescent="0.2">
      <c r="A246" s="34">
        <v>14</v>
      </c>
      <c r="B246" s="12" t="s">
        <v>118</v>
      </c>
      <c r="D246" s="4">
        <v>1</v>
      </c>
      <c r="E246" s="4" t="s">
        <v>175</v>
      </c>
      <c r="F246" s="35">
        <v>25.3278858661652</v>
      </c>
      <c r="G246" s="4">
        <v>5985</v>
      </c>
      <c r="J246" s="4">
        <v>1</v>
      </c>
      <c r="K246" s="4" t="s">
        <v>175</v>
      </c>
      <c r="L246" s="35">
        <v>32.457224845886202</v>
      </c>
      <c r="M246" s="4">
        <v>4579</v>
      </c>
      <c r="P246" s="4">
        <v>1</v>
      </c>
      <c r="Q246" s="4" t="s">
        <v>173</v>
      </c>
      <c r="R246" s="35">
        <v>7.4018919467925999</v>
      </c>
      <c r="S246" s="4">
        <v>1690</v>
      </c>
      <c r="V246" s="4">
        <v>1</v>
      </c>
      <c r="W246" s="4" t="s">
        <v>173</v>
      </c>
      <c r="X246" s="35">
        <v>8.7040205001831108</v>
      </c>
      <c r="Y246" s="4">
        <v>1593</v>
      </c>
      <c r="AB246" s="4">
        <v>1</v>
      </c>
      <c r="AC246" s="4" t="s">
        <v>173</v>
      </c>
      <c r="AD246" s="35">
        <v>7.8817291259765598</v>
      </c>
      <c r="AE246" s="4">
        <v>1853</v>
      </c>
      <c r="AH246" s="4">
        <v>1</v>
      </c>
      <c r="AI246" s="4" t="s">
        <v>175</v>
      </c>
      <c r="AJ246" s="35">
        <v>14.917189121246301</v>
      </c>
      <c r="AK246" s="4" t="s">
        <v>180</v>
      </c>
    </row>
    <row r="247" spans="1:37" x14ac:dyDescent="0.2">
      <c r="A247" s="34">
        <v>15</v>
      </c>
      <c r="B247" s="12" t="s">
        <v>119</v>
      </c>
      <c r="D247" s="4">
        <v>1</v>
      </c>
      <c r="E247" s="4" t="s">
        <v>173</v>
      </c>
      <c r="F247" s="35">
        <v>5.1633384227752703</v>
      </c>
      <c r="G247" s="4">
        <v>2691</v>
      </c>
      <c r="J247" s="4">
        <v>1</v>
      </c>
      <c r="K247" s="4" t="s">
        <v>173</v>
      </c>
      <c r="L247" s="35">
        <v>18.4091553688049</v>
      </c>
      <c r="M247" s="4">
        <v>3336</v>
      </c>
      <c r="P247" s="4">
        <v>1</v>
      </c>
      <c r="Q247" s="4" t="s">
        <v>175</v>
      </c>
      <c r="R247" s="35">
        <v>6.96297383308411</v>
      </c>
      <c r="S247" s="4">
        <v>1171</v>
      </c>
      <c r="V247" s="4">
        <v>1</v>
      </c>
      <c r="W247" s="4" t="s">
        <v>173</v>
      </c>
      <c r="X247" s="35">
        <v>7.3722639083862296</v>
      </c>
      <c r="Y247" s="4">
        <v>1157</v>
      </c>
      <c r="AB247" s="4">
        <v>1</v>
      </c>
      <c r="AC247" s="4" t="s">
        <v>173</v>
      </c>
      <c r="AD247" s="35">
        <v>7.6846349239349401</v>
      </c>
      <c r="AE247" s="4">
        <v>1320</v>
      </c>
      <c r="AH247" s="4">
        <v>1</v>
      </c>
      <c r="AI247" s="4" t="s">
        <v>173</v>
      </c>
      <c r="AJ247" s="35">
        <v>11.7307233810425</v>
      </c>
      <c r="AK247" s="4" t="s">
        <v>180</v>
      </c>
    </row>
    <row r="248" spans="1:37" x14ac:dyDescent="0.2">
      <c r="A248" s="34">
        <v>16</v>
      </c>
      <c r="B248" s="12" t="s">
        <v>120</v>
      </c>
      <c r="D248" s="4">
        <v>1</v>
      </c>
      <c r="E248" s="4" t="s">
        <v>173</v>
      </c>
      <c r="F248" s="35">
        <v>4.9386851787567103</v>
      </c>
      <c r="G248" s="4">
        <v>2696</v>
      </c>
      <c r="J248" s="4">
        <v>1</v>
      </c>
      <c r="K248" s="4" t="s">
        <v>173</v>
      </c>
      <c r="L248" s="35">
        <v>15.7794198989868</v>
      </c>
      <c r="M248" s="4">
        <v>3114</v>
      </c>
      <c r="P248" s="4">
        <v>1</v>
      </c>
      <c r="Q248" s="4" t="s">
        <v>175</v>
      </c>
      <c r="R248" s="35">
        <v>7.0653810501098597</v>
      </c>
      <c r="S248" s="4">
        <v>1225</v>
      </c>
      <c r="V248" s="4">
        <v>1</v>
      </c>
      <c r="W248" s="4" t="s">
        <v>173</v>
      </c>
      <c r="X248" s="35">
        <v>7.7826220989227304</v>
      </c>
      <c r="Y248" s="4">
        <v>1186</v>
      </c>
      <c r="AB248" s="4">
        <v>1</v>
      </c>
      <c r="AC248" s="4" t="s">
        <v>175</v>
      </c>
      <c r="AD248" s="35">
        <v>8.9029130935668999</v>
      </c>
      <c r="AE248" s="4">
        <v>1374</v>
      </c>
      <c r="AH248" s="4">
        <v>1</v>
      </c>
      <c r="AI248" s="4" t="s">
        <v>173</v>
      </c>
      <c r="AJ248" s="35">
        <v>11.674069404602101</v>
      </c>
      <c r="AK248" s="4" t="s">
        <v>180</v>
      </c>
    </row>
    <row r="249" spans="1:37" x14ac:dyDescent="0.2">
      <c r="A249" s="34">
        <v>17</v>
      </c>
      <c r="B249" s="12" t="s">
        <v>121</v>
      </c>
      <c r="D249" s="4">
        <v>1</v>
      </c>
      <c r="E249" s="4" t="s">
        <v>173</v>
      </c>
      <c r="F249" s="35">
        <v>9.8713078498840297</v>
      </c>
      <c r="G249" s="4">
        <v>3218</v>
      </c>
      <c r="J249" s="4">
        <v>1</v>
      </c>
      <c r="K249" s="4" t="s">
        <v>173</v>
      </c>
      <c r="L249" s="35">
        <v>14.0287735462189</v>
      </c>
      <c r="M249" s="4">
        <v>2966</v>
      </c>
      <c r="P249" s="4">
        <v>1</v>
      </c>
      <c r="Q249" s="4" t="s">
        <v>173</v>
      </c>
      <c r="R249" s="35">
        <v>6.8605575561523402</v>
      </c>
      <c r="S249" s="4">
        <v>1306</v>
      </c>
      <c r="V249" s="4">
        <v>1</v>
      </c>
      <c r="W249" s="4" t="s">
        <v>173</v>
      </c>
      <c r="X249" s="35">
        <v>12.4924726486206</v>
      </c>
      <c r="Y249" s="4">
        <v>1256</v>
      </c>
      <c r="AB249" s="4">
        <v>1</v>
      </c>
      <c r="AC249" s="4" t="s">
        <v>173</v>
      </c>
      <c r="AD249" s="35">
        <v>7.5781362056732204</v>
      </c>
      <c r="AE249" s="4">
        <v>1457</v>
      </c>
      <c r="AH249" s="4">
        <v>1</v>
      </c>
      <c r="AI249" s="4" t="s">
        <v>175</v>
      </c>
      <c r="AJ249" s="35">
        <v>13.3111555576324</v>
      </c>
      <c r="AK249" s="4" t="s">
        <v>180</v>
      </c>
    </row>
    <row r="250" spans="1:37" x14ac:dyDescent="0.2">
      <c r="A250" s="34">
        <v>18</v>
      </c>
      <c r="B250" s="12" t="s">
        <v>122</v>
      </c>
      <c r="D250" s="4">
        <v>1</v>
      </c>
      <c r="E250" s="4" t="s">
        <v>175</v>
      </c>
      <c r="F250" s="35">
        <v>15.097825288772601</v>
      </c>
      <c r="G250" s="4">
        <v>4278</v>
      </c>
      <c r="J250" s="4">
        <v>1</v>
      </c>
      <c r="K250" s="4" t="s">
        <v>175</v>
      </c>
      <c r="L250" s="35">
        <v>45.979196310043299</v>
      </c>
      <c r="M250" s="4">
        <v>5724</v>
      </c>
      <c r="P250" s="4">
        <v>1</v>
      </c>
      <c r="Q250" s="4" t="s">
        <v>175</v>
      </c>
      <c r="R250" s="35">
        <v>5.2222142219543501</v>
      </c>
      <c r="S250" s="4">
        <v>1227</v>
      </c>
      <c r="V250" s="4">
        <v>1</v>
      </c>
      <c r="W250" s="4" t="s">
        <v>175</v>
      </c>
      <c r="X250" s="35">
        <v>10.400512218475299</v>
      </c>
      <c r="Y250" s="4">
        <v>1248</v>
      </c>
      <c r="AB250" s="4">
        <v>1</v>
      </c>
      <c r="AC250" s="4" t="s">
        <v>173</v>
      </c>
      <c r="AD250" s="35">
        <v>8.3949718475341797</v>
      </c>
      <c r="AE250" s="4">
        <v>1414</v>
      </c>
      <c r="AH250" s="4">
        <v>1</v>
      </c>
      <c r="AI250" s="4" t="s">
        <v>175</v>
      </c>
      <c r="AJ250" s="35">
        <v>11.963672637939499</v>
      </c>
      <c r="AK250" s="4" t="s">
        <v>180</v>
      </c>
    </row>
    <row r="251" spans="1:37" x14ac:dyDescent="0.2">
      <c r="A251" s="34">
        <v>19</v>
      </c>
      <c r="B251" s="11" t="s">
        <v>247</v>
      </c>
      <c r="D251" s="4">
        <v>1</v>
      </c>
      <c r="E251" s="4" t="s">
        <v>173</v>
      </c>
      <c r="F251" s="35">
        <v>5.7149419784545898</v>
      </c>
      <c r="G251" s="4">
        <v>2625</v>
      </c>
      <c r="J251" s="4">
        <v>1</v>
      </c>
      <c r="K251" s="4" t="s">
        <v>173</v>
      </c>
      <c r="L251" s="35">
        <v>15.8614428043365</v>
      </c>
      <c r="M251" s="4">
        <v>3049</v>
      </c>
      <c r="P251" s="4">
        <v>1</v>
      </c>
      <c r="Q251" s="4" t="s">
        <v>173</v>
      </c>
      <c r="R251" s="35">
        <v>10.946699142456101</v>
      </c>
      <c r="S251" s="4">
        <v>1530</v>
      </c>
      <c r="V251" s="4">
        <v>1</v>
      </c>
      <c r="W251" s="4" t="s">
        <v>175</v>
      </c>
      <c r="X251" s="35">
        <v>13.1764557361603</v>
      </c>
      <c r="Y251" s="4">
        <v>1454</v>
      </c>
      <c r="AB251" s="4">
        <v>1</v>
      </c>
      <c r="AC251" s="4" t="s">
        <v>173</v>
      </c>
      <c r="AD251" s="35">
        <v>8.4818863868713397</v>
      </c>
      <c r="AE251" s="4">
        <v>1741</v>
      </c>
      <c r="AH251" s="4">
        <v>1</v>
      </c>
    </row>
    <row r="252" spans="1:37" x14ac:dyDescent="0.2">
      <c r="A252" s="34">
        <v>20</v>
      </c>
      <c r="B252" s="11" t="s">
        <v>81</v>
      </c>
      <c r="D252" s="4">
        <v>1</v>
      </c>
      <c r="E252" s="4" t="s">
        <v>173</v>
      </c>
      <c r="F252" s="35">
        <v>19.1075055599213</v>
      </c>
      <c r="G252" s="4">
        <v>4766</v>
      </c>
      <c r="J252" s="4">
        <v>1</v>
      </c>
      <c r="K252" s="4" t="s">
        <v>175</v>
      </c>
      <c r="L252" s="35">
        <v>30.203150272369399</v>
      </c>
      <c r="M252" s="4">
        <v>4334</v>
      </c>
      <c r="P252" s="4">
        <v>1</v>
      </c>
      <c r="Q252" s="4" t="s">
        <v>173</v>
      </c>
      <c r="R252" s="35">
        <v>10.4000301361084</v>
      </c>
      <c r="S252" s="4">
        <v>1579</v>
      </c>
      <c r="V252" s="4">
        <v>1</v>
      </c>
      <c r="W252" s="4" t="s">
        <v>175</v>
      </c>
      <c r="X252" s="35">
        <v>13.4080488681793</v>
      </c>
      <c r="Y252" s="4">
        <v>1517</v>
      </c>
      <c r="AB252" s="4">
        <v>1</v>
      </c>
      <c r="AC252" s="4" t="s">
        <v>175</v>
      </c>
      <c r="AD252" s="35">
        <v>8.8100960254669207</v>
      </c>
      <c r="AE252" s="4">
        <v>1828</v>
      </c>
      <c r="AH252" s="4">
        <v>1</v>
      </c>
    </row>
    <row r="253" spans="1:37" x14ac:dyDescent="0.2">
      <c r="A253" s="34">
        <v>21</v>
      </c>
      <c r="B253" s="11" t="s">
        <v>76</v>
      </c>
      <c r="D253" s="4">
        <v>1</v>
      </c>
      <c r="E253" s="4" t="s">
        <v>173</v>
      </c>
      <c r="F253" s="35">
        <v>5.3923537731170699</v>
      </c>
      <c r="G253" s="4">
        <v>2670</v>
      </c>
      <c r="J253" s="4">
        <v>1</v>
      </c>
      <c r="K253" s="4" t="s">
        <v>173</v>
      </c>
      <c r="L253" s="35">
        <v>15.739104986190799</v>
      </c>
      <c r="M253" s="4">
        <v>3138</v>
      </c>
      <c r="P253" s="4">
        <v>1</v>
      </c>
      <c r="Q253" s="4" t="s">
        <v>173</v>
      </c>
      <c r="R253" s="35">
        <v>10.0002715587616</v>
      </c>
      <c r="S253" s="4">
        <v>1397</v>
      </c>
      <c r="V253" s="4">
        <v>1</v>
      </c>
      <c r="W253" s="4" t="s">
        <v>173</v>
      </c>
      <c r="X253" s="35">
        <v>9.2158222198486293</v>
      </c>
      <c r="Y253" s="4">
        <v>1327</v>
      </c>
      <c r="AB253" s="4">
        <v>1</v>
      </c>
      <c r="AC253" s="4" t="s">
        <v>173</v>
      </c>
      <c r="AD253" s="35">
        <v>7.7607924938201904</v>
      </c>
      <c r="AE253" s="4">
        <v>1566</v>
      </c>
      <c r="AH253" s="4">
        <v>1</v>
      </c>
    </row>
    <row r="254" spans="1:37" x14ac:dyDescent="0.2">
      <c r="A254" s="34">
        <v>22</v>
      </c>
      <c r="B254" s="11" t="s">
        <v>78</v>
      </c>
      <c r="D254" s="4">
        <v>1</v>
      </c>
      <c r="E254" s="4" t="s">
        <v>173</v>
      </c>
      <c r="F254" s="35">
        <v>4.7450487613677996</v>
      </c>
      <c r="G254" s="4">
        <v>2559</v>
      </c>
      <c r="J254" s="4">
        <v>1</v>
      </c>
      <c r="K254" s="4" t="s">
        <v>173</v>
      </c>
      <c r="L254" s="35">
        <v>23.274016618728599</v>
      </c>
      <c r="M254" s="4">
        <v>3962</v>
      </c>
      <c r="P254" s="4">
        <v>1</v>
      </c>
      <c r="Q254" s="4" t="s">
        <v>173</v>
      </c>
      <c r="R254" s="35">
        <v>9.5163676738738996</v>
      </c>
      <c r="S254" s="4">
        <v>1461</v>
      </c>
      <c r="V254" s="4">
        <v>1</v>
      </c>
      <c r="W254" s="4" t="s">
        <v>175</v>
      </c>
      <c r="X254" s="35">
        <v>16.7651319503784</v>
      </c>
      <c r="Y254" s="4">
        <v>1415</v>
      </c>
      <c r="AB254" s="4">
        <v>1</v>
      </c>
      <c r="AC254" s="4" t="s">
        <v>175</v>
      </c>
      <c r="AD254" s="35">
        <v>8.1917436122894305</v>
      </c>
      <c r="AE254" s="4">
        <v>1700</v>
      </c>
      <c r="AH254" s="4">
        <v>1</v>
      </c>
    </row>
    <row r="255" spans="1:37" x14ac:dyDescent="0.2">
      <c r="A255" s="34">
        <v>23</v>
      </c>
      <c r="B255" s="11" t="s">
        <v>78</v>
      </c>
      <c r="D255" s="4">
        <v>1</v>
      </c>
      <c r="E255" s="4" t="s">
        <v>175</v>
      </c>
      <c r="F255" s="35">
        <v>5.6309578418731698</v>
      </c>
      <c r="G255" s="4">
        <v>2685</v>
      </c>
      <c r="J255" s="4">
        <v>1</v>
      </c>
      <c r="K255" s="4" t="s">
        <v>175</v>
      </c>
      <c r="L255" s="35">
        <v>36.147760629653902</v>
      </c>
      <c r="M255" s="4">
        <v>4859</v>
      </c>
      <c r="P255" s="4">
        <v>1</v>
      </c>
      <c r="Q255" s="4" t="s">
        <v>173</v>
      </c>
      <c r="R255" s="35">
        <v>10.9556934833527</v>
      </c>
      <c r="S255" s="4">
        <v>1522</v>
      </c>
      <c r="V255" s="4">
        <v>1</v>
      </c>
      <c r="W255" s="4" t="s">
        <v>175</v>
      </c>
      <c r="X255" s="35">
        <v>11.599115133285499</v>
      </c>
      <c r="Y255" s="4">
        <v>1502</v>
      </c>
      <c r="AB255" s="4">
        <v>1</v>
      </c>
      <c r="AC255" s="4" t="s">
        <v>175</v>
      </c>
      <c r="AD255" s="35">
        <v>8.1937191486358607</v>
      </c>
      <c r="AE255" s="4">
        <v>1725</v>
      </c>
      <c r="AH255" s="4">
        <v>1</v>
      </c>
    </row>
    <row r="256" spans="1:37" x14ac:dyDescent="0.2">
      <c r="A256" s="34">
        <v>24</v>
      </c>
      <c r="B256" s="11" t="s">
        <v>76</v>
      </c>
      <c r="D256" s="4">
        <v>1</v>
      </c>
      <c r="E256" s="4" t="s">
        <v>173</v>
      </c>
      <c r="F256" s="35">
        <v>5.6632323265075701</v>
      </c>
      <c r="G256" s="4">
        <v>2683</v>
      </c>
      <c r="J256" s="4">
        <v>1</v>
      </c>
      <c r="K256" s="4" t="s">
        <v>175</v>
      </c>
      <c r="L256" s="35">
        <v>38.707306146621697</v>
      </c>
      <c r="M256" s="4">
        <v>5149</v>
      </c>
      <c r="P256" s="4">
        <v>1</v>
      </c>
      <c r="Q256" s="4" t="s">
        <v>173</v>
      </c>
      <c r="R256" s="35">
        <v>11.572414636611899</v>
      </c>
      <c r="S256" s="4">
        <v>1713</v>
      </c>
      <c r="V256" s="4">
        <v>1</v>
      </c>
      <c r="W256" s="4" t="s">
        <v>175</v>
      </c>
      <c r="X256" s="35">
        <v>16.098145008087201</v>
      </c>
      <c r="Y256" s="4">
        <v>1605</v>
      </c>
      <c r="AB256" s="4">
        <v>1</v>
      </c>
      <c r="AC256" s="4" t="s">
        <v>175</v>
      </c>
      <c r="AD256" s="35">
        <v>9.5173730850219709</v>
      </c>
      <c r="AE256" s="4">
        <v>1940</v>
      </c>
      <c r="AH256" s="4">
        <v>1</v>
      </c>
    </row>
    <row r="257" spans="1:34" x14ac:dyDescent="0.2">
      <c r="A257" s="34">
        <v>25</v>
      </c>
      <c r="B257" s="11" t="s">
        <v>78</v>
      </c>
      <c r="D257" s="4">
        <v>1</v>
      </c>
      <c r="E257" s="4" t="s">
        <v>173</v>
      </c>
      <c r="F257" s="35">
        <v>5.2997720241546604</v>
      </c>
      <c r="G257" s="4">
        <v>2668</v>
      </c>
      <c r="J257" s="4">
        <v>1</v>
      </c>
      <c r="K257" s="4" t="s">
        <v>173</v>
      </c>
      <c r="L257" s="35">
        <v>19.700089693069501</v>
      </c>
      <c r="M257" s="4">
        <v>3574</v>
      </c>
      <c r="P257" s="4">
        <v>1</v>
      </c>
      <c r="Q257" s="4" t="s">
        <v>175</v>
      </c>
      <c r="R257" s="35">
        <v>9.7378444671630895</v>
      </c>
      <c r="S257" s="4">
        <v>1528</v>
      </c>
      <c r="V257" s="4">
        <v>1</v>
      </c>
      <c r="W257" s="4" t="s">
        <v>175</v>
      </c>
      <c r="X257" s="35">
        <v>16.877093791961698</v>
      </c>
      <c r="Y257" s="4">
        <v>1426</v>
      </c>
      <c r="AB257" s="4">
        <v>1</v>
      </c>
      <c r="AC257" s="4" t="s">
        <v>175</v>
      </c>
      <c r="AD257" s="35">
        <v>9.2195327281951904</v>
      </c>
      <c r="AE257" s="4">
        <v>1744</v>
      </c>
      <c r="AH257" s="4">
        <v>1</v>
      </c>
    </row>
    <row r="258" spans="1:34" x14ac:dyDescent="0.2">
      <c r="A258" s="34">
        <v>26</v>
      </c>
      <c r="B258" s="11" t="s">
        <v>78</v>
      </c>
      <c r="D258" s="4">
        <v>1</v>
      </c>
      <c r="E258" s="4" t="s">
        <v>175</v>
      </c>
      <c r="F258" s="35">
        <v>4.9215650558471697</v>
      </c>
      <c r="G258" s="4">
        <v>2629</v>
      </c>
      <c r="J258" s="4">
        <v>1</v>
      </c>
      <c r="K258" s="4" t="s">
        <v>175</v>
      </c>
      <c r="L258" s="35">
        <v>19.211206674575799</v>
      </c>
      <c r="M258" s="4">
        <v>3566</v>
      </c>
      <c r="P258" s="4">
        <v>1</v>
      </c>
      <c r="Q258" s="4" t="s">
        <v>173</v>
      </c>
      <c r="R258" s="35">
        <v>9.4102339744567907</v>
      </c>
      <c r="S258" s="4">
        <v>1583</v>
      </c>
      <c r="V258" s="4">
        <v>1</v>
      </c>
      <c r="W258" s="4" t="s">
        <v>175</v>
      </c>
      <c r="X258" s="35">
        <v>12.097752571106</v>
      </c>
      <c r="Y258" s="4">
        <v>1510</v>
      </c>
      <c r="AB258" s="4">
        <v>1</v>
      </c>
      <c r="AC258" s="4" t="s">
        <v>175</v>
      </c>
      <c r="AD258" s="35">
        <v>8.2947051525116002</v>
      </c>
      <c r="AE258" s="4">
        <v>1790</v>
      </c>
      <c r="AH258" s="4">
        <v>1</v>
      </c>
    </row>
    <row r="259" spans="1:34" x14ac:dyDescent="0.2">
      <c r="A259" s="34">
        <v>27</v>
      </c>
      <c r="B259" s="11" t="s">
        <v>78</v>
      </c>
      <c r="D259" s="4">
        <v>1</v>
      </c>
      <c r="E259" s="4" t="s">
        <v>173</v>
      </c>
      <c r="F259" s="35">
        <v>9.1367943286895805</v>
      </c>
      <c r="G259" s="4">
        <v>3157</v>
      </c>
      <c r="J259" s="4">
        <v>1</v>
      </c>
      <c r="K259" s="4" t="s">
        <v>173</v>
      </c>
      <c r="L259" s="35">
        <v>14.3673408031464</v>
      </c>
      <c r="M259" s="4">
        <v>2971</v>
      </c>
      <c r="P259" s="4">
        <v>1</v>
      </c>
      <c r="Q259" s="4" t="s">
        <v>173</v>
      </c>
      <c r="R259" s="35">
        <v>13.413038730621301</v>
      </c>
      <c r="S259" s="4">
        <v>1499</v>
      </c>
      <c r="V259" s="4">
        <v>1</v>
      </c>
      <c r="W259" s="4" t="s">
        <v>175</v>
      </c>
      <c r="X259" s="35">
        <v>10.4065272808075</v>
      </c>
      <c r="Y259" s="4">
        <v>1431</v>
      </c>
      <c r="AB259" s="4">
        <v>1</v>
      </c>
      <c r="AC259" s="4" t="s">
        <v>175</v>
      </c>
      <c r="AD259" s="35">
        <v>9.2453410625457799</v>
      </c>
      <c r="AE259" s="4">
        <v>1735</v>
      </c>
      <c r="AH259" s="4">
        <v>1</v>
      </c>
    </row>
    <row r="260" spans="1:34" x14ac:dyDescent="0.2">
      <c r="A260" s="34">
        <v>28</v>
      </c>
      <c r="B260" s="11" t="s">
        <v>78</v>
      </c>
      <c r="D260" s="4">
        <v>1</v>
      </c>
      <c r="E260" s="4" t="s">
        <v>173</v>
      </c>
      <c r="F260" s="35">
        <v>5.49312543869019</v>
      </c>
      <c r="G260" s="4">
        <v>2661</v>
      </c>
      <c r="J260" s="4">
        <v>1</v>
      </c>
      <c r="K260" s="4" t="s">
        <v>173</v>
      </c>
      <c r="L260" s="35">
        <v>42.362801551818897</v>
      </c>
      <c r="M260" s="4">
        <v>5309</v>
      </c>
      <c r="P260" s="4">
        <v>1</v>
      </c>
      <c r="Q260" s="4" t="s">
        <v>175</v>
      </c>
      <c r="R260" s="35">
        <v>10.5474996566772</v>
      </c>
      <c r="S260" s="4">
        <v>1564</v>
      </c>
      <c r="V260" s="4">
        <v>1</v>
      </c>
      <c r="W260" s="4" t="s">
        <v>173</v>
      </c>
      <c r="X260" s="35">
        <v>10.363426446914699</v>
      </c>
      <c r="Y260" s="4">
        <v>1492</v>
      </c>
      <c r="AB260" s="4">
        <v>1</v>
      </c>
      <c r="AC260" s="4" t="s">
        <v>173</v>
      </c>
      <c r="AD260" s="35">
        <v>9.0838434696197492</v>
      </c>
      <c r="AE260" s="4">
        <v>1786</v>
      </c>
      <c r="AH260" s="4">
        <v>1</v>
      </c>
    </row>
    <row r="261" spans="1:34" x14ac:dyDescent="0.2">
      <c r="A261" s="34">
        <v>29</v>
      </c>
      <c r="B261" s="11" t="s">
        <v>123</v>
      </c>
      <c r="D261" s="4">
        <v>1</v>
      </c>
      <c r="E261" s="4" t="s">
        <v>173</v>
      </c>
      <c r="F261" s="35">
        <v>4.8622798919677699</v>
      </c>
      <c r="G261" s="4">
        <v>2592</v>
      </c>
      <c r="J261" s="4">
        <v>1</v>
      </c>
      <c r="K261" s="4" t="s">
        <v>173</v>
      </c>
      <c r="L261" s="35">
        <v>19.046827077865601</v>
      </c>
      <c r="M261" s="4">
        <v>3359</v>
      </c>
      <c r="P261" s="4">
        <v>1</v>
      </c>
      <c r="Q261" s="4" t="s">
        <v>175</v>
      </c>
      <c r="R261" s="35">
        <v>9.3192682266235405</v>
      </c>
      <c r="S261" s="4">
        <v>1601</v>
      </c>
      <c r="V261" s="4">
        <v>1</v>
      </c>
      <c r="W261" s="4" t="s">
        <v>173</v>
      </c>
      <c r="X261" s="35">
        <v>16.280978202819799</v>
      </c>
      <c r="Y261" s="4">
        <v>1582</v>
      </c>
      <c r="AB261" s="4">
        <v>1</v>
      </c>
      <c r="AC261" s="4" t="s">
        <v>173</v>
      </c>
      <c r="AD261" s="35">
        <v>9.0114443302154505</v>
      </c>
      <c r="AE261" s="4">
        <v>1872</v>
      </c>
      <c r="AH261" s="4">
        <v>1</v>
      </c>
    </row>
    <row r="262" spans="1:34" x14ac:dyDescent="0.2">
      <c r="A262" s="34">
        <v>30</v>
      </c>
      <c r="B262" s="11" t="s">
        <v>123</v>
      </c>
      <c r="D262" s="4">
        <v>1</v>
      </c>
      <c r="E262" s="4" t="s">
        <v>175</v>
      </c>
      <c r="F262" s="35">
        <v>4.35347247123718</v>
      </c>
      <c r="G262" s="4">
        <v>2530</v>
      </c>
      <c r="J262" s="4">
        <v>1</v>
      </c>
      <c r="K262" s="4" t="s">
        <v>175</v>
      </c>
      <c r="L262" s="35">
        <v>15.9729788303375</v>
      </c>
      <c r="M262" s="4">
        <v>3078</v>
      </c>
      <c r="P262" s="4">
        <v>1</v>
      </c>
      <c r="Q262" s="4" t="s">
        <v>173</v>
      </c>
      <c r="R262" s="35">
        <v>9.6365177631378192</v>
      </c>
      <c r="S262" s="4">
        <v>1524</v>
      </c>
      <c r="V262" s="4">
        <v>1</v>
      </c>
      <c r="W262" s="4" t="s">
        <v>175</v>
      </c>
      <c r="X262" s="35">
        <v>10.3733258247376</v>
      </c>
      <c r="Y262" s="4">
        <v>1462</v>
      </c>
      <c r="AB262" s="4">
        <v>1</v>
      </c>
      <c r="AC262" s="4" t="s">
        <v>175</v>
      </c>
      <c r="AD262" s="35">
        <v>8.5198516845703107</v>
      </c>
      <c r="AE262" s="4">
        <v>1739</v>
      </c>
      <c r="AH262" s="4">
        <v>1</v>
      </c>
    </row>
    <row r="263" spans="1:34" x14ac:dyDescent="0.2">
      <c r="A263" s="34">
        <v>31</v>
      </c>
      <c r="B263" s="11" t="s">
        <v>124</v>
      </c>
      <c r="D263" s="4">
        <v>1</v>
      </c>
      <c r="E263" s="4" t="s">
        <v>173</v>
      </c>
      <c r="F263" s="35">
        <v>16.9456882476807</v>
      </c>
      <c r="G263" s="4">
        <v>4486</v>
      </c>
      <c r="J263" s="4">
        <v>1</v>
      </c>
      <c r="K263" s="4" t="s">
        <v>173</v>
      </c>
      <c r="L263" s="35">
        <v>107.625231981277</v>
      </c>
      <c r="M263" s="4">
        <v>10869</v>
      </c>
      <c r="P263" s="4">
        <v>1</v>
      </c>
      <c r="Q263" s="4" t="s">
        <v>173</v>
      </c>
      <c r="R263" s="35">
        <v>11.969054937362699</v>
      </c>
      <c r="S263" s="4">
        <v>1402</v>
      </c>
      <c r="V263" s="4">
        <v>1</v>
      </c>
      <c r="W263" s="4" t="s">
        <v>175</v>
      </c>
      <c r="X263" s="35">
        <v>9.3796453475952202</v>
      </c>
      <c r="Y263" s="4">
        <v>1322</v>
      </c>
      <c r="AB263" s="4">
        <v>1</v>
      </c>
      <c r="AC263" s="4" t="s">
        <v>175</v>
      </c>
      <c r="AD263" s="35">
        <v>7.7970516681671098</v>
      </c>
      <c r="AE263" s="4">
        <v>1562</v>
      </c>
      <c r="AH263" s="4">
        <v>1</v>
      </c>
    </row>
    <row r="264" spans="1:34" x14ac:dyDescent="0.2">
      <c r="A264" s="34">
        <v>32</v>
      </c>
      <c r="B264" s="11" t="s">
        <v>124</v>
      </c>
      <c r="D264" s="4">
        <v>1</v>
      </c>
      <c r="E264" s="4" t="s">
        <v>173</v>
      </c>
      <c r="F264" s="35">
        <v>4.6412255764007604</v>
      </c>
      <c r="G264" s="4">
        <v>2529</v>
      </c>
      <c r="J264" s="4">
        <v>1</v>
      </c>
      <c r="K264" s="4" t="s">
        <v>173</v>
      </c>
      <c r="L264" s="35">
        <v>15.6648383140564</v>
      </c>
      <c r="M264" s="4">
        <v>3166</v>
      </c>
      <c r="P264" s="4">
        <v>1</v>
      </c>
      <c r="Q264" s="4" t="s">
        <v>173</v>
      </c>
      <c r="R264" s="35">
        <v>9.22786545753479</v>
      </c>
      <c r="S264" s="4">
        <v>1139</v>
      </c>
      <c r="V264" s="4">
        <v>1</v>
      </c>
      <c r="W264" s="4" t="s">
        <v>175</v>
      </c>
      <c r="X264" s="35">
        <v>9.9074296951293892</v>
      </c>
      <c r="Y264" s="4">
        <v>1151</v>
      </c>
      <c r="AB264" s="4">
        <v>1</v>
      </c>
      <c r="AC264" s="4" t="s">
        <v>173</v>
      </c>
      <c r="AD264" s="35">
        <v>7.3367424011230504</v>
      </c>
      <c r="AE264" s="4">
        <v>1297</v>
      </c>
      <c r="AH264" s="4">
        <v>1</v>
      </c>
    </row>
    <row r="265" spans="1:34" x14ac:dyDescent="0.2">
      <c r="A265" s="34">
        <v>33</v>
      </c>
      <c r="B265" s="11" t="s">
        <v>78</v>
      </c>
      <c r="D265" s="4">
        <v>1</v>
      </c>
      <c r="E265" s="4" t="s">
        <v>173</v>
      </c>
      <c r="F265" s="35">
        <v>5.0360703468322798</v>
      </c>
      <c r="G265" s="4">
        <v>2610</v>
      </c>
      <c r="J265" s="4">
        <v>1</v>
      </c>
      <c r="K265" s="4" t="s">
        <v>173</v>
      </c>
      <c r="L265" s="35">
        <v>46.373874187469497</v>
      </c>
      <c r="M265" s="4">
        <v>5213</v>
      </c>
      <c r="P265" s="4">
        <v>1</v>
      </c>
      <c r="Q265" s="4" t="s">
        <v>173</v>
      </c>
      <c r="R265" s="35">
        <v>9.8190562725067103</v>
      </c>
      <c r="S265" s="4">
        <v>1523</v>
      </c>
      <c r="V265" s="4">
        <v>1</v>
      </c>
      <c r="W265" s="4" t="s">
        <v>173</v>
      </c>
      <c r="X265" s="35">
        <v>9.3535623550415004</v>
      </c>
      <c r="Y265" s="4">
        <v>1468</v>
      </c>
      <c r="AB265" s="4">
        <v>1</v>
      </c>
      <c r="AC265" s="4" t="s">
        <v>173</v>
      </c>
      <c r="AD265" s="35">
        <v>8.2947583198547399</v>
      </c>
      <c r="AE265" s="4">
        <v>1786</v>
      </c>
      <c r="AH265" s="4">
        <v>1</v>
      </c>
    </row>
    <row r="266" spans="1:34" x14ac:dyDescent="0.2">
      <c r="A266" s="34">
        <v>34</v>
      </c>
      <c r="B266" s="11" t="s">
        <v>125</v>
      </c>
      <c r="D266" s="4">
        <v>1</v>
      </c>
      <c r="E266" s="4" t="s">
        <v>173</v>
      </c>
      <c r="F266" s="35">
        <v>4.9153182506561297</v>
      </c>
      <c r="G266" s="4">
        <v>2567</v>
      </c>
      <c r="J266" s="4">
        <v>1</v>
      </c>
      <c r="K266" s="4" t="s">
        <v>173</v>
      </c>
      <c r="L266" s="35">
        <v>17.421417951583901</v>
      </c>
      <c r="M266" s="4">
        <v>3309</v>
      </c>
      <c r="P266" s="4">
        <v>1</v>
      </c>
      <c r="Q266" s="4" t="s">
        <v>173</v>
      </c>
      <c r="R266" s="35">
        <v>8.1904852390289307</v>
      </c>
      <c r="S266" s="4">
        <v>1582</v>
      </c>
      <c r="V266" s="4">
        <v>1</v>
      </c>
      <c r="W266" s="4" t="s">
        <v>173</v>
      </c>
      <c r="X266" s="35">
        <v>11.7759582996368</v>
      </c>
      <c r="Y266" s="4">
        <v>1552</v>
      </c>
      <c r="AB266" s="4">
        <v>1</v>
      </c>
      <c r="AC266" s="4" t="s">
        <v>173</v>
      </c>
      <c r="AD266" s="35">
        <v>8.2937717437744105</v>
      </c>
      <c r="AE266" s="4">
        <v>1857</v>
      </c>
      <c r="AH266" s="4">
        <v>1</v>
      </c>
    </row>
    <row r="267" spans="1:34" x14ac:dyDescent="0.2">
      <c r="A267" s="34">
        <v>35</v>
      </c>
      <c r="B267" s="11" t="s">
        <v>104</v>
      </c>
      <c r="D267" s="4">
        <v>1</v>
      </c>
      <c r="E267" s="4" t="s">
        <v>173</v>
      </c>
      <c r="F267" s="35">
        <v>5.3490109443664604</v>
      </c>
      <c r="G267" s="4">
        <v>2624</v>
      </c>
      <c r="J267" s="4">
        <v>1</v>
      </c>
      <c r="K267" s="4" t="s">
        <v>173</v>
      </c>
      <c r="L267" s="35">
        <v>17.644316673278801</v>
      </c>
      <c r="M267" s="4">
        <v>3231</v>
      </c>
      <c r="P267" s="4">
        <v>1</v>
      </c>
      <c r="Q267" s="4" t="s">
        <v>175</v>
      </c>
      <c r="R267" s="35">
        <v>9.4972183704376203</v>
      </c>
      <c r="S267" s="4">
        <v>1541</v>
      </c>
      <c r="V267" s="4">
        <v>1</v>
      </c>
      <c r="W267" s="4" t="s">
        <v>173</v>
      </c>
      <c r="X267" s="35">
        <v>19.423592567443801</v>
      </c>
      <c r="Y267" s="4">
        <v>1454</v>
      </c>
      <c r="AB267" s="4">
        <v>1</v>
      </c>
      <c r="AC267" s="4" t="s">
        <v>173</v>
      </c>
      <c r="AD267" s="35">
        <v>8.6646268367767298</v>
      </c>
      <c r="AE267" s="4">
        <v>1758</v>
      </c>
      <c r="AH267" s="4">
        <v>1</v>
      </c>
    </row>
    <row r="268" spans="1:34" x14ac:dyDescent="0.2">
      <c r="A268" s="34">
        <v>36</v>
      </c>
      <c r="B268" s="11" t="s">
        <v>104</v>
      </c>
      <c r="D268" s="4">
        <v>1</v>
      </c>
      <c r="E268" s="4" t="s">
        <v>173</v>
      </c>
      <c r="F268" s="35">
        <v>12.776317834854099</v>
      </c>
      <c r="G268" s="4">
        <v>3787</v>
      </c>
      <c r="J268" s="4">
        <v>1</v>
      </c>
      <c r="K268" s="4" t="s">
        <v>173</v>
      </c>
      <c r="L268" s="35">
        <v>37.856987953186</v>
      </c>
      <c r="M268" s="4">
        <v>5097</v>
      </c>
      <c r="P268" s="4">
        <v>1</v>
      </c>
      <c r="Q268" s="4" t="s">
        <v>173</v>
      </c>
      <c r="R268" s="35">
        <v>10.123339176178</v>
      </c>
      <c r="S268" s="4">
        <v>1314</v>
      </c>
      <c r="V268" s="4">
        <v>1</v>
      </c>
      <c r="W268" s="4" t="s">
        <v>175</v>
      </c>
      <c r="X268" s="35">
        <v>9.4134030342102104</v>
      </c>
      <c r="Y268" s="4">
        <v>1262</v>
      </c>
      <c r="AB268" s="4">
        <v>1</v>
      </c>
      <c r="AC268" s="4" t="s">
        <v>175</v>
      </c>
      <c r="AD268" s="35">
        <v>9.2056698799133301</v>
      </c>
      <c r="AE268" s="4">
        <v>1570</v>
      </c>
      <c r="AH268" s="4">
        <v>1</v>
      </c>
    </row>
    <row r="269" spans="1:34" x14ac:dyDescent="0.2">
      <c r="A269" s="34">
        <v>37</v>
      </c>
      <c r="B269" s="11" t="s">
        <v>126</v>
      </c>
      <c r="D269" s="4">
        <v>1</v>
      </c>
      <c r="E269" s="4" t="s">
        <v>173</v>
      </c>
      <c r="F269" s="35">
        <v>27.952514171600299</v>
      </c>
      <c r="G269" s="4">
        <v>6046</v>
      </c>
      <c r="J269" s="4">
        <v>1</v>
      </c>
      <c r="K269" s="4" t="s">
        <v>173</v>
      </c>
      <c r="L269" s="35">
        <v>17.077478885650599</v>
      </c>
      <c r="M269" s="4">
        <v>3292</v>
      </c>
      <c r="P269" s="4">
        <v>1</v>
      </c>
      <c r="Q269" s="4" t="s">
        <v>173</v>
      </c>
      <c r="R269" s="35">
        <v>9.6184003353118896</v>
      </c>
      <c r="S269" s="4">
        <v>1703</v>
      </c>
      <c r="V269" s="4">
        <v>1</v>
      </c>
      <c r="W269" s="4" t="s">
        <v>175</v>
      </c>
      <c r="X269" s="35">
        <v>11.7878255844116</v>
      </c>
      <c r="Y269" s="4">
        <v>1612</v>
      </c>
      <c r="AB269" s="4">
        <v>1</v>
      </c>
      <c r="AC269" s="4" t="s">
        <v>173</v>
      </c>
      <c r="AD269" s="35">
        <v>9.8221604824066198</v>
      </c>
      <c r="AE269" s="4">
        <v>2011</v>
      </c>
      <c r="AH269" s="4">
        <v>1</v>
      </c>
    </row>
    <row r="270" spans="1:34" x14ac:dyDescent="0.2">
      <c r="A270" s="34">
        <v>38</v>
      </c>
      <c r="B270" s="11" t="s">
        <v>126</v>
      </c>
      <c r="D270" s="4">
        <v>1</v>
      </c>
      <c r="E270" s="4" t="s">
        <v>175</v>
      </c>
      <c r="F270" s="35">
        <v>4.9105777740478498</v>
      </c>
      <c r="G270" s="4">
        <v>2534</v>
      </c>
      <c r="J270" s="4">
        <v>1</v>
      </c>
      <c r="K270" s="4" t="s">
        <v>175</v>
      </c>
      <c r="L270" s="35">
        <v>27.159034729003899</v>
      </c>
      <c r="M270" s="4">
        <v>4104</v>
      </c>
      <c r="P270" s="4">
        <v>1</v>
      </c>
      <c r="Q270" s="4" t="s">
        <v>175</v>
      </c>
      <c r="R270" s="35">
        <v>8.6491520404815692</v>
      </c>
      <c r="S270" s="4">
        <v>1476</v>
      </c>
      <c r="V270" s="4">
        <v>1</v>
      </c>
      <c r="W270" s="4" t="s">
        <v>175</v>
      </c>
      <c r="X270" s="35">
        <v>11.5377304553986</v>
      </c>
      <c r="Y270" s="4">
        <v>1485</v>
      </c>
      <c r="AB270" s="4">
        <v>1</v>
      </c>
      <c r="AC270" s="4" t="s">
        <v>175</v>
      </c>
      <c r="AD270" s="35">
        <v>8.2068951129913295</v>
      </c>
      <c r="AE270" s="4">
        <v>1734</v>
      </c>
      <c r="AH270" s="4">
        <v>1</v>
      </c>
    </row>
    <row r="271" spans="1:34" x14ac:dyDescent="0.2">
      <c r="A271" s="34">
        <v>39</v>
      </c>
      <c r="B271" s="11" t="s">
        <v>126</v>
      </c>
      <c r="D271" s="4">
        <v>1</v>
      </c>
      <c r="E271" s="4" t="s">
        <v>175</v>
      </c>
      <c r="F271" s="35">
        <v>24.276150703430201</v>
      </c>
      <c r="G271" s="4">
        <v>5742</v>
      </c>
      <c r="J271" s="4">
        <v>1</v>
      </c>
      <c r="K271" s="4" t="s">
        <v>175</v>
      </c>
      <c r="L271" s="35">
        <v>15.974623441696201</v>
      </c>
      <c r="M271" s="4">
        <v>3140</v>
      </c>
      <c r="P271" s="4">
        <v>1</v>
      </c>
      <c r="Q271" s="4" t="s">
        <v>175</v>
      </c>
      <c r="R271" s="35">
        <v>8.3964858055114693</v>
      </c>
      <c r="S271" s="4">
        <v>1668</v>
      </c>
      <c r="V271" s="4">
        <v>1</v>
      </c>
      <c r="W271" s="4" t="s">
        <v>173</v>
      </c>
      <c r="X271" s="35">
        <v>26.890494346618699</v>
      </c>
      <c r="Y271" s="4">
        <v>1616</v>
      </c>
      <c r="AB271" s="4">
        <v>1</v>
      </c>
      <c r="AC271" s="4" t="s">
        <v>175</v>
      </c>
      <c r="AD271" s="35">
        <v>8.7459871768951398</v>
      </c>
      <c r="AE271" s="4">
        <v>1885</v>
      </c>
      <c r="AH271" s="4">
        <v>1</v>
      </c>
    </row>
    <row r="272" spans="1:34" x14ac:dyDescent="0.2">
      <c r="A272" s="34">
        <v>40</v>
      </c>
      <c r="B272" s="11" t="s">
        <v>126</v>
      </c>
      <c r="D272" s="4">
        <v>1</v>
      </c>
      <c r="E272" s="4" t="s">
        <v>173</v>
      </c>
      <c r="F272" s="35">
        <v>5.1189069747924796</v>
      </c>
      <c r="G272" s="4">
        <v>2635</v>
      </c>
      <c r="J272" s="4">
        <v>1</v>
      </c>
      <c r="K272" s="4" t="s">
        <v>173</v>
      </c>
      <c r="L272" s="35">
        <v>24.678386926651001</v>
      </c>
      <c r="M272" s="4">
        <v>3699</v>
      </c>
      <c r="P272" s="4">
        <v>1</v>
      </c>
      <c r="Q272" s="4" t="s">
        <v>173</v>
      </c>
      <c r="R272" s="35">
        <v>9.1127941608429008</v>
      </c>
      <c r="S272" s="4">
        <v>1444</v>
      </c>
      <c r="V272" s="4">
        <v>1</v>
      </c>
      <c r="W272" s="4" t="s">
        <v>173</v>
      </c>
      <c r="X272" s="35">
        <v>18.090313911437999</v>
      </c>
      <c r="Y272" s="4">
        <v>1457</v>
      </c>
      <c r="AB272" s="4">
        <v>1</v>
      </c>
      <c r="AC272" s="4" t="s">
        <v>173</v>
      </c>
      <c r="AD272" s="35">
        <v>8.0919802188873309</v>
      </c>
      <c r="AE272" s="4">
        <v>1694</v>
      </c>
      <c r="AH272" s="4">
        <v>1</v>
      </c>
    </row>
    <row r="273" spans="1:37" x14ac:dyDescent="0.2">
      <c r="A273" s="34">
        <v>41</v>
      </c>
      <c r="B273" s="11" t="s">
        <v>104</v>
      </c>
      <c r="D273" s="4">
        <v>1</v>
      </c>
      <c r="E273" s="4" t="s">
        <v>173</v>
      </c>
      <c r="F273" s="35">
        <v>7.6799049377441397</v>
      </c>
      <c r="G273" s="4">
        <v>2992</v>
      </c>
      <c r="J273" s="4">
        <v>1</v>
      </c>
      <c r="K273" s="4" t="s">
        <v>173</v>
      </c>
      <c r="L273" s="35">
        <v>16.3293941020966</v>
      </c>
      <c r="M273" s="4">
        <v>3208</v>
      </c>
      <c r="P273" s="4">
        <v>1</v>
      </c>
      <c r="Q273" s="4" t="s">
        <v>173</v>
      </c>
      <c r="R273" s="35">
        <v>10.3750996589661</v>
      </c>
      <c r="S273" s="4">
        <v>1664</v>
      </c>
      <c r="V273" s="4">
        <v>1</v>
      </c>
      <c r="W273" s="4" t="s">
        <v>175</v>
      </c>
      <c r="X273" s="35">
        <v>19.999149560928299</v>
      </c>
      <c r="Y273" s="4">
        <v>1565</v>
      </c>
      <c r="AB273" s="4">
        <v>1</v>
      </c>
      <c r="AC273" s="4" t="s">
        <v>175</v>
      </c>
      <c r="AD273" s="35">
        <v>8.9064469337463397</v>
      </c>
      <c r="AE273" s="4">
        <v>1901</v>
      </c>
      <c r="AH273" s="4">
        <v>1</v>
      </c>
    </row>
    <row r="274" spans="1:37" x14ac:dyDescent="0.2">
      <c r="A274" s="34">
        <v>42</v>
      </c>
      <c r="B274" s="11" t="s">
        <v>83</v>
      </c>
      <c r="D274" s="4">
        <v>1</v>
      </c>
      <c r="E274" s="4" t="s">
        <v>173</v>
      </c>
      <c r="F274" s="35">
        <v>5.3243868350982702</v>
      </c>
      <c r="G274" s="4">
        <v>2597</v>
      </c>
      <c r="J274" s="4">
        <v>1</v>
      </c>
      <c r="K274" s="4" t="s">
        <v>173</v>
      </c>
      <c r="L274" s="35">
        <v>24.322892427444501</v>
      </c>
      <c r="M274" s="4">
        <v>3875</v>
      </c>
      <c r="P274" s="4">
        <v>1</v>
      </c>
      <c r="Q274" s="4" t="s">
        <v>173</v>
      </c>
      <c r="R274" s="35">
        <v>10.3944036960602</v>
      </c>
      <c r="S274" s="4">
        <v>1698</v>
      </c>
      <c r="V274" s="4">
        <v>1</v>
      </c>
      <c r="W274" s="4" t="s">
        <v>175</v>
      </c>
      <c r="X274" s="35">
        <v>11.777770757675199</v>
      </c>
      <c r="Y274" s="4">
        <v>1594</v>
      </c>
      <c r="AB274" s="4">
        <v>1</v>
      </c>
      <c r="AC274" s="4" t="s">
        <v>175</v>
      </c>
      <c r="AD274" s="35">
        <v>9.0219984054565394</v>
      </c>
      <c r="AE274" s="4">
        <v>1984</v>
      </c>
      <c r="AH274" s="4">
        <v>1</v>
      </c>
    </row>
    <row r="275" spans="1:37" x14ac:dyDescent="0.2">
      <c r="A275" s="34">
        <v>43</v>
      </c>
      <c r="B275" s="11" t="s">
        <v>123</v>
      </c>
      <c r="D275" s="4">
        <v>1</v>
      </c>
      <c r="E275" s="4" t="s">
        <v>173</v>
      </c>
      <c r="F275" s="35">
        <v>5.0176091194152797</v>
      </c>
      <c r="G275" s="4">
        <v>2571</v>
      </c>
      <c r="J275" s="4">
        <v>1</v>
      </c>
      <c r="K275" s="4" t="s">
        <v>173</v>
      </c>
      <c r="L275" s="35">
        <v>14.233069419860801</v>
      </c>
      <c r="M275" s="4">
        <v>2899</v>
      </c>
      <c r="P275" s="4">
        <v>1</v>
      </c>
      <c r="Q275" s="4" t="s">
        <v>173</v>
      </c>
      <c r="R275" s="35">
        <v>8.1083171367645299</v>
      </c>
      <c r="S275" s="4">
        <v>1095</v>
      </c>
      <c r="V275" s="4">
        <v>1</v>
      </c>
      <c r="W275" s="4" t="s">
        <v>175</v>
      </c>
      <c r="X275" s="35">
        <v>16.691048383712801</v>
      </c>
      <c r="Y275" s="4">
        <v>1139</v>
      </c>
      <c r="AB275" s="4">
        <v>1</v>
      </c>
      <c r="AC275" s="4" t="s">
        <v>173</v>
      </c>
      <c r="AD275" s="35">
        <v>8.2773139476776105</v>
      </c>
      <c r="AE275" s="4">
        <v>1297</v>
      </c>
      <c r="AH275" s="4">
        <v>1</v>
      </c>
    </row>
    <row r="276" spans="1:37" x14ac:dyDescent="0.2">
      <c r="A276" s="34">
        <v>44</v>
      </c>
      <c r="B276" s="11" t="s">
        <v>104</v>
      </c>
      <c r="D276" s="4">
        <v>1</v>
      </c>
      <c r="E276" s="4" t="s">
        <v>173</v>
      </c>
      <c r="F276" s="35">
        <v>8.2943890094757098</v>
      </c>
      <c r="G276" s="4">
        <v>3064</v>
      </c>
      <c r="J276" s="4">
        <v>1</v>
      </c>
      <c r="K276" s="4" t="s">
        <v>173</v>
      </c>
      <c r="L276" s="35">
        <v>14.7458136081696</v>
      </c>
      <c r="M276" s="4">
        <v>2990</v>
      </c>
      <c r="P276" s="4">
        <v>1</v>
      </c>
      <c r="Q276" s="4" t="s">
        <v>173</v>
      </c>
      <c r="R276" s="35">
        <v>9.8291776180267298</v>
      </c>
      <c r="S276" s="4">
        <v>1487</v>
      </c>
      <c r="V276" s="4">
        <v>1</v>
      </c>
      <c r="W276" s="4" t="s">
        <v>175</v>
      </c>
      <c r="X276" s="35">
        <v>10.5468757152557</v>
      </c>
      <c r="Y276" s="4">
        <v>1425</v>
      </c>
      <c r="AB276" s="4">
        <v>1</v>
      </c>
      <c r="AC276" s="4" t="s">
        <v>175</v>
      </c>
      <c r="AD276" s="35">
        <v>7.68536400794983</v>
      </c>
      <c r="AE276" s="4">
        <v>1698</v>
      </c>
      <c r="AH276" s="4">
        <v>1</v>
      </c>
    </row>
    <row r="277" spans="1:37" x14ac:dyDescent="0.2">
      <c r="A277" s="34">
        <v>45</v>
      </c>
      <c r="B277" s="11" t="s">
        <v>76</v>
      </c>
      <c r="D277" s="4">
        <v>1</v>
      </c>
      <c r="E277" s="4" t="s">
        <v>173</v>
      </c>
      <c r="F277" s="35">
        <v>5.52972340583801</v>
      </c>
      <c r="G277" s="4">
        <v>2661</v>
      </c>
      <c r="J277" s="4">
        <v>1</v>
      </c>
      <c r="K277" s="4" t="s">
        <v>173</v>
      </c>
      <c r="L277" s="35">
        <v>17.408043622970599</v>
      </c>
      <c r="M277" s="4">
        <v>3193</v>
      </c>
      <c r="P277" s="4">
        <v>1</v>
      </c>
      <c r="Q277" s="4" t="s">
        <v>173</v>
      </c>
      <c r="R277" s="35">
        <v>8.4988090991973895</v>
      </c>
      <c r="S277" s="4">
        <v>1545</v>
      </c>
      <c r="V277" s="4">
        <v>1</v>
      </c>
      <c r="W277" s="4" t="s">
        <v>173</v>
      </c>
      <c r="X277" s="35">
        <v>11.981116533279399</v>
      </c>
      <c r="Y277" s="4">
        <v>1496</v>
      </c>
      <c r="AB277" s="4">
        <v>1</v>
      </c>
      <c r="AC277" s="4" t="s">
        <v>173</v>
      </c>
      <c r="AD277" s="35">
        <v>9.6285569667816198</v>
      </c>
      <c r="AE277" s="4">
        <v>1818</v>
      </c>
      <c r="AH277" s="4">
        <v>1</v>
      </c>
    </row>
    <row r="278" spans="1:37" x14ac:dyDescent="0.2">
      <c r="A278" s="34">
        <v>46</v>
      </c>
      <c r="B278" s="11" t="s">
        <v>127</v>
      </c>
      <c r="D278" s="4">
        <v>1</v>
      </c>
      <c r="E278" s="4" t="s">
        <v>175</v>
      </c>
      <c r="F278" s="35">
        <v>6.0409224033355704</v>
      </c>
      <c r="G278" s="4">
        <v>2746</v>
      </c>
      <c r="J278" s="4">
        <v>1</v>
      </c>
      <c r="K278" s="4" t="s">
        <v>175</v>
      </c>
      <c r="L278" s="35">
        <v>97.720769405365004</v>
      </c>
      <c r="M278" s="4">
        <v>10404</v>
      </c>
      <c r="P278" s="4">
        <v>1</v>
      </c>
      <c r="Q278" s="4" t="s">
        <v>175</v>
      </c>
      <c r="R278" s="35">
        <v>9.3187177181243896</v>
      </c>
      <c r="S278" s="4">
        <v>1550</v>
      </c>
      <c r="V278" s="4">
        <v>1</v>
      </c>
      <c r="W278" s="4" t="s">
        <v>175</v>
      </c>
      <c r="X278" s="35">
        <v>10.6492502689362</v>
      </c>
      <c r="Y278" s="4">
        <v>1474</v>
      </c>
      <c r="AB278" s="4">
        <v>1</v>
      </c>
      <c r="AC278" s="4" t="s">
        <v>175</v>
      </c>
      <c r="AD278" s="35">
        <v>9.13214063644409</v>
      </c>
      <c r="AE278" s="4">
        <v>1730</v>
      </c>
      <c r="AH278" s="4">
        <v>1</v>
      </c>
    </row>
    <row r="279" spans="1:37" x14ac:dyDescent="0.2">
      <c r="A279" s="34">
        <v>47</v>
      </c>
      <c r="B279" s="11" t="s">
        <v>127</v>
      </c>
      <c r="D279" s="4">
        <v>1</v>
      </c>
      <c r="E279" s="4" t="s">
        <v>173</v>
      </c>
      <c r="F279" s="35">
        <v>5.3255949020385698</v>
      </c>
      <c r="G279" s="4">
        <v>2622</v>
      </c>
      <c r="J279" s="4">
        <v>1</v>
      </c>
      <c r="K279" s="4" t="s">
        <v>173</v>
      </c>
      <c r="L279" s="35">
        <v>52.399735927581801</v>
      </c>
      <c r="M279" s="4">
        <v>6233</v>
      </c>
      <c r="P279" s="4">
        <v>1</v>
      </c>
      <c r="Q279" s="4" t="s">
        <v>173</v>
      </c>
      <c r="R279" s="35">
        <v>10.3419950008392</v>
      </c>
      <c r="S279" s="4">
        <v>1519</v>
      </c>
      <c r="V279" s="4">
        <v>1</v>
      </c>
      <c r="W279" s="4" t="s">
        <v>173</v>
      </c>
      <c r="X279" s="35">
        <v>13.004732370376599</v>
      </c>
      <c r="Y279" s="4">
        <v>1492</v>
      </c>
      <c r="AB279" s="4">
        <v>1</v>
      </c>
      <c r="AC279" s="4" t="s">
        <v>173</v>
      </c>
      <c r="AD279" s="35">
        <v>8.2764019966125506</v>
      </c>
      <c r="AE279" s="4">
        <v>1735</v>
      </c>
      <c r="AH279" s="4">
        <v>1</v>
      </c>
    </row>
    <row r="280" spans="1:37" x14ac:dyDescent="0.2">
      <c r="A280" s="34">
        <v>48</v>
      </c>
      <c r="B280" s="11" t="s">
        <v>128</v>
      </c>
      <c r="D280" s="4">
        <v>1</v>
      </c>
      <c r="E280" s="4" t="s">
        <v>173</v>
      </c>
      <c r="F280" s="35">
        <v>7.3720507621765101</v>
      </c>
      <c r="G280" s="4">
        <v>2958</v>
      </c>
      <c r="J280" s="4">
        <v>1</v>
      </c>
      <c r="K280" s="4" t="s">
        <v>173</v>
      </c>
      <c r="L280" s="35">
        <v>14.539614677429199</v>
      </c>
      <c r="M280" s="4">
        <v>2911</v>
      </c>
      <c r="P280" s="4">
        <v>1</v>
      </c>
      <c r="Q280" s="4" t="s">
        <v>173</v>
      </c>
      <c r="R280" s="35">
        <v>9.6262342929840106</v>
      </c>
      <c r="S280" s="4">
        <v>1633</v>
      </c>
      <c r="V280" s="4">
        <v>1</v>
      </c>
      <c r="W280" s="4" t="s">
        <v>175</v>
      </c>
      <c r="X280" s="35">
        <v>20.684873342513999</v>
      </c>
      <c r="Y280" s="4">
        <v>1562</v>
      </c>
      <c r="AB280" s="4">
        <v>1</v>
      </c>
      <c r="AC280" s="4" t="s">
        <v>175</v>
      </c>
      <c r="AD280" s="35">
        <v>9.2118778228759801</v>
      </c>
      <c r="AE280" s="4">
        <v>1877</v>
      </c>
      <c r="AH280" s="4">
        <v>1</v>
      </c>
    </row>
    <row r="281" spans="1:37" x14ac:dyDescent="0.2">
      <c r="A281" s="34">
        <v>49</v>
      </c>
      <c r="B281" s="11" t="s">
        <v>123</v>
      </c>
      <c r="D281" s="4">
        <v>1</v>
      </c>
      <c r="E281" s="4" t="s">
        <v>173</v>
      </c>
      <c r="F281" s="35">
        <v>4.1978905200958296</v>
      </c>
      <c r="G281" s="4">
        <v>2444</v>
      </c>
      <c r="J281" s="4">
        <v>1</v>
      </c>
      <c r="K281" s="4" t="s">
        <v>173</v>
      </c>
      <c r="L281" s="35">
        <v>17.509446620941201</v>
      </c>
      <c r="M281" s="4">
        <v>3095</v>
      </c>
      <c r="P281" s="4">
        <v>1</v>
      </c>
      <c r="Q281" s="4" t="s">
        <v>175</v>
      </c>
      <c r="R281" s="35">
        <v>10.239240407943701</v>
      </c>
      <c r="S281" s="4">
        <v>1780</v>
      </c>
      <c r="V281" s="4">
        <v>1</v>
      </c>
      <c r="W281" s="4" t="s">
        <v>173</v>
      </c>
      <c r="X281" s="35">
        <v>9.21590352058411</v>
      </c>
      <c r="Y281" s="4">
        <v>1678</v>
      </c>
      <c r="AB281" s="4">
        <v>1</v>
      </c>
      <c r="AC281" s="4" t="s">
        <v>173</v>
      </c>
      <c r="AD281" s="35">
        <v>8.7156865596771205</v>
      </c>
      <c r="AE281" s="4">
        <v>2058</v>
      </c>
      <c r="AH281" s="4">
        <v>1</v>
      </c>
    </row>
    <row r="282" spans="1:37" x14ac:dyDescent="0.2">
      <c r="A282" s="34">
        <v>50</v>
      </c>
      <c r="B282" s="11" t="s">
        <v>127</v>
      </c>
      <c r="D282" s="4">
        <v>1</v>
      </c>
      <c r="E282" s="4" t="s">
        <v>173</v>
      </c>
      <c r="F282" s="35">
        <v>5.6335136890411404</v>
      </c>
      <c r="G282" s="4">
        <v>2655</v>
      </c>
      <c r="J282" s="4">
        <v>1</v>
      </c>
      <c r="K282" s="4" t="s">
        <v>173</v>
      </c>
      <c r="L282" s="35">
        <v>14.0286777019501</v>
      </c>
      <c r="M282" s="4">
        <v>2963</v>
      </c>
      <c r="P282" s="4">
        <v>1</v>
      </c>
      <c r="Q282" s="4" t="s">
        <v>173</v>
      </c>
      <c r="R282" s="35">
        <v>8.7970037460327202</v>
      </c>
      <c r="S282" s="4">
        <v>1271</v>
      </c>
      <c r="V282" s="4">
        <v>1</v>
      </c>
      <c r="W282" s="4" t="s">
        <v>173</v>
      </c>
      <c r="X282" s="35">
        <v>10.211606979370099</v>
      </c>
      <c r="Y282" s="4">
        <v>1319</v>
      </c>
      <c r="AB282" s="4">
        <v>1</v>
      </c>
      <c r="AC282" s="4" t="s">
        <v>175</v>
      </c>
      <c r="AD282" s="35">
        <v>7.3346481323242196</v>
      </c>
      <c r="AE282" s="4">
        <v>1466</v>
      </c>
      <c r="AH282" s="4">
        <v>1</v>
      </c>
    </row>
    <row r="283" spans="1:37" x14ac:dyDescent="0.2">
      <c r="A283" s="34">
        <v>1</v>
      </c>
      <c r="B283" s="12" t="s">
        <v>107</v>
      </c>
      <c r="D283" s="4">
        <v>2</v>
      </c>
      <c r="E283" s="4" t="s">
        <v>173</v>
      </c>
      <c r="F283" s="35">
        <v>6.1657400131225604</v>
      </c>
      <c r="G283" s="4">
        <v>2619</v>
      </c>
      <c r="J283" s="4">
        <v>2</v>
      </c>
      <c r="K283" s="4" t="s">
        <v>173</v>
      </c>
      <c r="L283" s="35">
        <v>14.8370063304901</v>
      </c>
      <c r="M283" s="4">
        <v>2983</v>
      </c>
      <c r="P283" s="4">
        <v>2</v>
      </c>
      <c r="Q283" s="4" t="s">
        <v>173</v>
      </c>
      <c r="R283" s="35">
        <v>9.5238678455352801</v>
      </c>
      <c r="S283" s="4">
        <v>1702</v>
      </c>
      <c r="V283" s="4">
        <v>2</v>
      </c>
      <c r="W283" s="4" t="s">
        <v>173</v>
      </c>
      <c r="X283" s="35">
        <v>9.8860185146331805</v>
      </c>
      <c r="Y283" s="4">
        <v>1591</v>
      </c>
      <c r="AB283" s="4">
        <v>2</v>
      </c>
      <c r="AC283" s="4" t="s">
        <v>175</v>
      </c>
      <c r="AD283" s="35">
        <v>7.5541751384735099</v>
      </c>
      <c r="AE283" s="4">
        <v>1864</v>
      </c>
      <c r="AH283" s="4">
        <v>2</v>
      </c>
      <c r="AI283" s="4" t="s">
        <v>173</v>
      </c>
      <c r="AK283" s="4" t="s">
        <v>180</v>
      </c>
    </row>
    <row r="284" spans="1:37" x14ac:dyDescent="0.2">
      <c r="A284" s="34">
        <v>2</v>
      </c>
      <c r="B284" s="12" t="s">
        <v>108</v>
      </c>
      <c r="D284" s="4">
        <v>2</v>
      </c>
      <c r="E284" s="4" t="s">
        <v>173</v>
      </c>
      <c r="F284" s="35">
        <v>6.1116249561309797</v>
      </c>
      <c r="G284" s="4">
        <v>2590</v>
      </c>
      <c r="J284" s="4">
        <v>2</v>
      </c>
      <c r="K284" s="4" t="s">
        <v>173</v>
      </c>
      <c r="L284" s="35">
        <v>12.901146173477199</v>
      </c>
      <c r="M284" s="4">
        <v>2906</v>
      </c>
      <c r="P284" s="4">
        <v>2</v>
      </c>
      <c r="Q284" s="4" t="s">
        <v>173</v>
      </c>
      <c r="R284" s="35">
        <v>8.4150674343109095</v>
      </c>
      <c r="S284" s="4">
        <v>1474</v>
      </c>
      <c r="V284" s="4">
        <v>2</v>
      </c>
      <c r="W284" s="4" t="s">
        <v>173</v>
      </c>
      <c r="X284" s="35">
        <v>10.2348148822784</v>
      </c>
      <c r="Y284" s="4">
        <v>1402</v>
      </c>
      <c r="AB284" s="4">
        <v>2</v>
      </c>
      <c r="AC284" s="4" t="s">
        <v>175</v>
      </c>
      <c r="AD284" s="35">
        <v>8.8254659175872803</v>
      </c>
      <c r="AE284" s="4">
        <v>1675</v>
      </c>
      <c r="AH284" s="4">
        <v>2</v>
      </c>
      <c r="AI284" s="4" t="s">
        <v>173</v>
      </c>
      <c r="AJ284" s="35">
        <v>17.013742208480799</v>
      </c>
      <c r="AK284" s="4" t="s">
        <v>180</v>
      </c>
    </row>
    <row r="285" spans="1:37" x14ac:dyDescent="0.2">
      <c r="A285" s="34">
        <v>3</v>
      </c>
      <c r="B285" s="12" t="s">
        <v>81</v>
      </c>
      <c r="D285" s="4">
        <v>2</v>
      </c>
      <c r="E285" s="4" t="s">
        <v>173</v>
      </c>
      <c r="F285" s="35">
        <v>6.5836224555969203</v>
      </c>
      <c r="G285" s="4">
        <v>2628</v>
      </c>
      <c r="J285" s="4">
        <v>2</v>
      </c>
      <c r="K285" s="4" t="s">
        <v>173</v>
      </c>
      <c r="L285" s="35">
        <v>15.0713589191437</v>
      </c>
      <c r="M285" s="4">
        <v>3078</v>
      </c>
      <c r="P285" s="4">
        <v>2</v>
      </c>
      <c r="Q285" s="4" t="s">
        <v>173</v>
      </c>
      <c r="R285" s="35">
        <v>8.8062357902526909</v>
      </c>
      <c r="S285" s="4">
        <v>1858</v>
      </c>
      <c r="V285" s="4">
        <v>2</v>
      </c>
      <c r="W285" s="4" t="s">
        <v>173</v>
      </c>
      <c r="X285" s="35">
        <v>7.8895020484924299</v>
      </c>
      <c r="Y285" s="4">
        <v>1712</v>
      </c>
      <c r="AB285" s="4">
        <v>2</v>
      </c>
      <c r="AC285" s="4" t="s">
        <v>175</v>
      </c>
      <c r="AD285" s="35">
        <v>8.2612004280090297</v>
      </c>
      <c r="AE285" s="4">
        <v>2080</v>
      </c>
      <c r="AH285" s="4">
        <v>2</v>
      </c>
      <c r="AI285" s="4" t="s">
        <v>173</v>
      </c>
      <c r="AJ285" s="35">
        <v>14.841871261596699</v>
      </c>
      <c r="AK285" s="4" t="s">
        <v>180</v>
      </c>
    </row>
    <row r="286" spans="1:37" x14ac:dyDescent="0.2">
      <c r="A286" s="34">
        <v>4</v>
      </c>
      <c r="B286" s="12" t="s">
        <v>109</v>
      </c>
      <c r="D286" s="4">
        <v>2</v>
      </c>
      <c r="E286" s="4" t="s">
        <v>173</v>
      </c>
      <c r="F286" s="35">
        <v>6.46234107017517</v>
      </c>
      <c r="G286" s="4">
        <v>2656</v>
      </c>
      <c r="J286" s="4">
        <v>2</v>
      </c>
      <c r="K286" s="4" t="s">
        <v>173</v>
      </c>
      <c r="L286" s="35">
        <v>14.593724727630599</v>
      </c>
      <c r="M286" s="4">
        <v>3043</v>
      </c>
      <c r="P286" s="4">
        <v>2</v>
      </c>
      <c r="Q286" s="4" t="s">
        <v>173</v>
      </c>
      <c r="R286" s="35">
        <v>8.2938563823700004</v>
      </c>
      <c r="S286" s="4">
        <v>1357</v>
      </c>
      <c r="V286" s="4">
        <v>2</v>
      </c>
      <c r="W286" s="4" t="s">
        <v>173</v>
      </c>
      <c r="X286" s="35">
        <v>8.9035387039184606</v>
      </c>
      <c r="Y286" s="4">
        <v>1291</v>
      </c>
      <c r="AB286" s="4">
        <v>2</v>
      </c>
      <c r="AC286" s="4" t="s">
        <v>173</v>
      </c>
      <c r="AD286" s="35">
        <v>8.4969151020050102</v>
      </c>
      <c r="AE286" s="4">
        <v>1508</v>
      </c>
      <c r="AH286" s="4">
        <v>2</v>
      </c>
      <c r="AI286" s="4" t="s">
        <v>175</v>
      </c>
      <c r="AJ286" s="35">
        <v>14.9226677417755</v>
      </c>
      <c r="AK286" s="4" t="s">
        <v>180</v>
      </c>
    </row>
    <row r="287" spans="1:37" x14ac:dyDescent="0.2">
      <c r="A287" s="34">
        <v>5</v>
      </c>
      <c r="B287" s="12" t="s">
        <v>110</v>
      </c>
      <c r="D287" s="4">
        <v>2</v>
      </c>
      <c r="E287" s="4" t="s">
        <v>173</v>
      </c>
      <c r="F287" s="35">
        <v>22.005039215087901</v>
      </c>
      <c r="G287" s="4">
        <v>5034</v>
      </c>
      <c r="J287" s="4">
        <v>2</v>
      </c>
      <c r="K287" s="4" t="s">
        <v>175</v>
      </c>
      <c r="L287" s="35">
        <v>34.947431325912497</v>
      </c>
      <c r="M287" s="4">
        <v>4673</v>
      </c>
      <c r="P287" s="4">
        <v>2</v>
      </c>
      <c r="Q287" s="4" t="s">
        <v>173</v>
      </c>
      <c r="R287" s="35">
        <v>8.1916794776916504</v>
      </c>
      <c r="S287" s="4">
        <v>1502</v>
      </c>
      <c r="V287" s="4">
        <v>2</v>
      </c>
      <c r="W287" s="4" t="s">
        <v>175</v>
      </c>
      <c r="X287" s="35">
        <v>8.4561769962310809</v>
      </c>
      <c r="Y287" s="4">
        <v>1405</v>
      </c>
      <c r="AB287" s="4">
        <v>2</v>
      </c>
      <c r="AC287" s="4" t="s">
        <v>173</v>
      </c>
      <c r="AD287" s="35">
        <v>7.2720012664794904</v>
      </c>
      <c r="AE287" s="4">
        <v>1655</v>
      </c>
      <c r="AH287" s="4">
        <v>2</v>
      </c>
      <c r="AI287" s="4" t="s">
        <v>175</v>
      </c>
      <c r="AJ287" s="35">
        <v>14.0357506275177</v>
      </c>
      <c r="AK287" s="4" t="s">
        <v>180</v>
      </c>
    </row>
    <row r="288" spans="1:37" x14ac:dyDescent="0.2">
      <c r="A288" s="34">
        <v>6</v>
      </c>
      <c r="B288" s="12" t="s">
        <v>77</v>
      </c>
      <c r="D288" s="4">
        <v>2</v>
      </c>
      <c r="E288" s="4" t="s">
        <v>173</v>
      </c>
      <c r="F288" s="35">
        <v>5.83567094802856</v>
      </c>
      <c r="G288" s="4">
        <v>2511</v>
      </c>
      <c r="J288" s="4">
        <v>2</v>
      </c>
      <c r="K288" s="4" t="s">
        <v>173</v>
      </c>
      <c r="L288" s="35">
        <v>11.0578405857086</v>
      </c>
      <c r="M288" s="4">
        <v>2688</v>
      </c>
      <c r="P288" s="4">
        <v>2</v>
      </c>
      <c r="Q288" s="4" t="s">
        <v>175</v>
      </c>
      <c r="R288" s="35">
        <v>9.2173495292663592</v>
      </c>
      <c r="S288" s="4">
        <v>1675</v>
      </c>
      <c r="V288" s="4">
        <v>2</v>
      </c>
      <c r="W288" s="4" t="s">
        <v>173</v>
      </c>
      <c r="X288" s="35">
        <v>16.943850040435802</v>
      </c>
      <c r="Y288" s="4">
        <v>1611</v>
      </c>
      <c r="AB288" s="4">
        <v>2</v>
      </c>
      <c r="AC288" s="4" t="s">
        <v>173</v>
      </c>
      <c r="AD288" s="35">
        <v>7.8834583759307897</v>
      </c>
      <c r="AE288" s="4">
        <v>1809</v>
      </c>
      <c r="AH288" s="4">
        <v>2</v>
      </c>
      <c r="AI288" s="4" t="s">
        <v>173</v>
      </c>
      <c r="AJ288" s="35">
        <v>15.124871730804401</v>
      </c>
      <c r="AK288" s="4" t="s">
        <v>180</v>
      </c>
    </row>
    <row r="289" spans="1:37" x14ac:dyDescent="0.2">
      <c r="A289" s="34">
        <v>7</v>
      </c>
      <c r="B289" s="12" t="s">
        <v>111</v>
      </c>
      <c r="D289" s="4">
        <v>2</v>
      </c>
      <c r="E289" s="4" t="s">
        <v>175</v>
      </c>
      <c r="F289" s="35">
        <v>7.0656843185424796</v>
      </c>
      <c r="G289" s="4">
        <v>2716</v>
      </c>
      <c r="J289" s="4">
        <v>2</v>
      </c>
      <c r="K289" s="4" t="s">
        <v>173</v>
      </c>
      <c r="L289" s="35">
        <v>13.9262728691101</v>
      </c>
      <c r="M289" s="4">
        <v>2983</v>
      </c>
      <c r="P289" s="4">
        <v>2</v>
      </c>
      <c r="Q289" s="4" t="s">
        <v>173</v>
      </c>
      <c r="R289" s="35">
        <v>9.0053761005401594</v>
      </c>
      <c r="S289" s="4">
        <v>1544</v>
      </c>
      <c r="V289" s="4">
        <v>2</v>
      </c>
      <c r="W289" s="4" t="s">
        <v>173</v>
      </c>
      <c r="X289" s="35">
        <v>19.860454082488999</v>
      </c>
      <c r="Y289" s="4">
        <v>1451</v>
      </c>
      <c r="AB289" s="4">
        <v>2</v>
      </c>
      <c r="AC289" s="4" t="s">
        <v>173</v>
      </c>
      <c r="AD289" s="35">
        <v>8.2935047149658203</v>
      </c>
      <c r="AE289" s="4">
        <v>1691</v>
      </c>
      <c r="AH289" s="4">
        <v>2</v>
      </c>
      <c r="AI289" s="4" t="s">
        <v>175</v>
      </c>
      <c r="AJ289" s="35">
        <v>14.436960935592699</v>
      </c>
      <c r="AK289" s="4" t="s">
        <v>180</v>
      </c>
    </row>
    <row r="290" spans="1:37" x14ac:dyDescent="0.2">
      <c r="A290" s="34">
        <v>8</v>
      </c>
      <c r="B290" s="12" t="s">
        <v>112</v>
      </c>
      <c r="D290" s="4">
        <v>2</v>
      </c>
      <c r="E290" s="4" t="s">
        <v>173</v>
      </c>
      <c r="F290" s="35">
        <v>5.3245599269866899</v>
      </c>
      <c r="G290" s="4">
        <v>2519</v>
      </c>
      <c r="J290" s="4">
        <v>2</v>
      </c>
      <c r="K290" s="4" t="s">
        <v>173</v>
      </c>
      <c r="L290" s="35">
        <v>17.203932046890301</v>
      </c>
      <c r="M290" s="4">
        <v>3216</v>
      </c>
      <c r="P290" s="4">
        <v>2</v>
      </c>
      <c r="Q290" s="4" t="s">
        <v>173</v>
      </c>
      <c r="R290" s="35">
        <v>7.4791417121887198</v>
      </c>
      <c r="S290" s="4">
        <v>1536</v>
      </c>
      <c r="V290" s="4">
        <v>2</v>
      </c>
      <c r="W290" s="4" t="s">
        <v>173</v>
      </c>
      <c r="X290" s="35">
        <v>11.316643714904799</v>
      </c>
      <c r="Y290" s="4">
        <v>1505</v>
      </c>
      <c r="AB290" s="4">
        <v>2</v>
      </c>
      <c r="AC290" s="4" t="s">
        <v>175</v>
      </c>
      <c r="AD290" s="35">
        <v>8.3973920345306396</v>
      </c>
      <c r="AE290" s="4">
        <v>1734</v>
      </c>
      <c r="AH290" s="4">
        <v>2</v>
      </c>
      <c r="AI290" s="4" t="s">
        <v>173</v>
      </c>
      <c r="AJ290" s="35">
        <v>13.9248054027557</v>
      </c>
      <c r="AK290" s="4" t="s">
        <v>180</v>
      </c>
    </row>
    <row r="291" spans="1:37" x14ac:dyDescent="0.2">
      <c r="A291" s="34">
        <v>9</v>
      </c>
      <c r="B291" s="12" t="s">
        <v>113</v>
      </c>
      <c r="D291" s="4">
        <v>2</v>
      </c>
      <c r="E291" s="4" t="s">
        <v>175</v>
      </c>
      <c r="F291" s="35">
        <v>17.408334493637099</v>
      </c>
      <c r="G291" s="4">
        <v>4383</v>
      </c>
      <c r="J291" s="4">
        <v>2</v>
      </c>
      <c r="K291" s="4" t="s">
        <v>175</v>
      </c>
      <c r="L291" s="35">
        <v>16.586859941482501</v>
      </c>
      <c r="M291" s="4">
        <v>3180</v>
      </c>
      <c r="P291" s="4">
        <v>2</v>
      </c>
      <c r="Q291" s="4" t="s">
        <v>173</v>
      </c>
      <c r="R291" s="35">
        <v>8.1923215389251691</v>
      </c>
      <c r="S291" s="4">
        <v>1653</v>
      </c>
      <c r="V291" s="4">
        <v>2</v>
      </c>
      <c r="W291" s="4" t="s">
        <v>175</v>
      </c>
      <c r="X291" s="35">
        <v>10.0847883224487</v>
      </c>
      <c r="Y291" s="4">
        <v>1545</v>
      </c>
      <c r="AB291" s="4">
        <v>2</v>
      </c>
      <c r="AC291" s="4" t="s">
        <v>173</v>
      </c>
      <c r="AD291" s="35">
        <v>9.9344060420990008</v>
      </c>
      <c r="AE291" s="4">
        <v>1788</v>
      </c>
      <c r="AH291" s="4">
        <v>2</v>
      </c>
      <c r="AI291" s="4" t="s">
        <v>175</v>
      </c>
      <c r="AJ291" s="35">
        <v>13.4899458885193</v>
      </c>
      <c r="AK291" s="4" t="s">
        <v>180</v>
      </c>
    </row>
    <row r="292" spans="1:37" x14ac:dyDescent="0.2">
      <c r="A292" s="34">
        <v>10</v>
      </c>
      <c r="B292" s="12" t="s">
        <v>114</v>
      </c>
      <c r="D292" s="4">
        <v>2</v>
      </c>
      <c r="E292" s="4" t="s">
        <v>175</v>
      </c>
      <c r="F292" s="35">
        <v>8.0247955322265607</v>
      </c>
      <c r="G292" s="4">
        <v>2910</v>
      </c>
      <c r="J292" s="4">
        <v>2</v>
      </c>
      <c r="K292" s="4" t="s">
        <v>173</v>
      </c>
      <c r="L292" s="35">
        <v>32.514214515686</v>
      </c>
      <c r="M292" s="4">
        <v>4626</v>
      </c>
      <c r="P292" s="4">
        <v>2</v>
      </c>
      <c r="Q292" s="4" t="s">
        <v>173</v>
      </c>
      <c r="R292" s="35">
        <v>7.8852612972259504</v>
      </c>
      <c r="S292" s="4">
        <v>1970</v>
      </c>
      <c r="V292" s="4">
        <v>2</v>
      </c>
      <c r="W292" s="4" t="s">
        <v>175</v>
      </c>
      <c r="X292" s="35">
        <v>12.288260459899901</v>
      </c>
      <c r="Y292" s="4">
        <v>1836</v>
      </c>
      <c r="AB292" s="4">
        <v>2</v>
      </c>
      <c r="AC292" s="4" t="s">
        <v>173</v>
      </c>
      <c r="AD292" s="35">
        <v>7.0644609928131104</v>
      </c>
      <c r="AE292" s="4">
        <v>2188</v>
      </c>
      <c r="AH292" s="4">
        <v>2</v>
      </c>
      <c r="AI292" s="4" t="s">
        <v>175</v>
      </c>
      <c r="AJ292" s="35">
        <v>15.137148618698101</v>
      </c>
      <c r="AK292" s="4" t="s">
        <v>180</v>
      </c>
    </row>
    <row r="293" spans="1:37" x14ac:dyDescent="0.2">
      <c r="A293" s="34">
        <v>11</v>
      </c>
      <c r="B293" s="12" t="s">
        <v>115</v>
      </c>
      <c r="D293" s="4">
        <v>2</v>
      </c>
      <c r="E293" s="4" t="s">
        <v>175</v>
      </c>
      <c r="F293" s="35">
        <v>8.6659531593322807</v>
      </c>
      <c r="G293" s="4">
        <v>3018</v>
      </c>
      <c r="J293" s="4">
        <v>2</v>
      </c>
      <c r="K293" s="4" t="s">
        <v>173</v>
      </c>
      <c r="L293" s="35">
        <v>37.833106517791698</v>
      </c>
      <c r="M293" s="4">
        <v>5068</v>
      </c>
      <c r="P293" s="4">
        <v>2</v>
      </c>
      <c r="Q293" s="4" t="s">
        <v>173</v>
      </c>
      <c r="R293" s="35">
        <v>9.2148103713989293</v>
      </c>
      <c r="S293" s="4">
        <v>1677</v>
      </c>
      <c r="V293" s="4">
        <v>2</v>
      </c>
      <c r="W293" s="4" t="s">
        <v>175</v>
      </c>
      <c r="X293" s="35">
        <v>12.901764869689901</v>
      </c>
      <c r="Y293" s="4">
        <v>1486</v>
      </c>
      <c r="AB293" s="4">
        <v>2</v>
      </c>
      <c r="AC293" s="4" t="s">
        <v>173</v>
      </c>
      <c r="AD293" s="35">
        <v>7.6783311367034903</v>
      </c>
      <c r="AE293" s="4">
        <v>1783</v>
      </c>
      <c r="AH293" s="4">
        <v>2</v>
      </c>
      <c r="AI293" s="4" t="s">
        <v>175</v>
      </c>
      <c r="AJ293" s="35">
        <v>16.282744407653801</v>
      </c>
      <c r="AK293" s="4" t="s">
        <v>180</v>
      </c>
    </row>
    <row r="294" spans="1:37" x14ac:dyDescent="0.2">
      <c r="A294" s="34">
        <v>12</v>
      </c>
      <c r="B294" s="12" t="s">
        <v>116</v>
      </c>
      <c r="D294" s="4">
        <v>2</v>
      </c>
      <c r="E294" s="4" t="s">
        <v>173</v>
      </c>
      <c r="F294" s="35">
        <v>6.3280913829803502</v>
      </c>
      <c r="G294" s="4">
        <v>2635</v>
      </c>
      <c r="J294" s="4">
        <v>2</v>
      </c>
      <c r="K294" s="4" t="s">
        <v>173</v>
      </c>
      <c r="L294" s="35">
        <v>18.021284341812098</v>
      </c>
      <c r="M294" s="4">
        <v>3320</v>
      </c>
      <c r="P294" s="4">
        <v>2</v>
      </c>
      <c r="Q294" s="4" t="s">
        <v>175</v>
      </c>
      <c r="R294" s="35">
        <v>9.3480918407440203</v>
      </c>
      <c r="S294" s="4">
        <v>1909</v>
      </c>
      <c r="V294" s="4">
        <v>2</v>
      </c>
      <c r="W294" s="4" t="s">
        <v>173</v>
      </c>
      <c r="X294" s="35">
        <v>10.240129470825201</v>
      </c>
      <c r="Y294" s="4">
        <v>1725</v>
      </c>
      <c r="AB294" s="4">
        <v>2</v>
      </c>
      <c r="AC294" s="4" t="s">
        <v>175</v>
      </c>
      <c r="AD294" s="35">
        <v>7.5781519412994403</v>
      </c>
      <c r="AE294" s="4">
        <v>2038</v>
      </c>
      <c r="AH294" s="4">
        <v>2</v>
      </c>
      <c r="AI294" s="4" t="s">
        <v>173</v>
      </c>
      <c r="AJ294" s="35">
        <v>14.450666427612299</v>
      </c>
      <c r="AK294" s="4" t="s">
        <v>180</v>
      </c>
    </row>
    <row r="295" spans="1:37" x14ac:dyDescent="0.2">
      <c r="A295" s="34">
        <v>13</v>
      </c>
      <c r="B295" s="12" t="s">
        <v>117</v>
      </c>
      <c r="D295" s="4">
        <v>2</v>
      </c>
      <c r="E295" s="4" t="s">
        <v>173</v>
      </c>
      <c r="F295" s="35">
        <v>9.3585031032562291</v>
      </c>
      <c r="G295" s="4">
        <v>2896</v>
      </c>
      <c r="J295" s="4">
        <v>2</v>
      </c>
      <c r="K295" s="4" t="s">
        <v>173</v>
      </c>
      <c r="L295" s="35">
        <v>21.196648120880099</v>
      </c>
      <c r="M295" s="4">
        <v>3699</v>
      </c>
      <c r="P295" s="4">
        <v>2</v>
      </c>
      <c r="Q295" s="4" t="s">
        <v>173</v>
      </c>
      <c r="R295" s="35">
        <v>8.5721015930175799</v>
      </c>
      <c r="S295" s="4">
        <v>1485</v>
      </c>
      <c r="V295" s="4">
        <v>2</v>
      </c>
      <c r="W295" s="4" t="s">
        <v>175</v>
      </c>
      <c r="X295" s="35">
        <v>7.1678531169891402</v>
      </c>
      <c r="Y295" s="4">
        <v>1376</v>
      </c>
      <c r="AB295" s="4">
        <v>2</v>
      </c>
      <c r="AC295" s="4" t="s">
        <v>173</v>
      </c>
      <c r="AD295" s="35">
        <v>8.09291815757752</v>
      </c>
      <c r="AE295" s="4">
        <v>1617</v>
      </c>
      <c r="AH295" s="4">
        <v>2</v>
      </c>
      <c r="AI295" s="4" t="s">
        <v>175</v>
      </c>
      <c r="AJ295" s="35">
        <v>13.6505415439606</v>
      </c>
      <c r="AK295" s="4" t="s">
        <v>180</v>
      </c>
    </row>
    <row r="296" spans="1:37" x14ac:dyDescent="0.2">
      <c r="A296" s="34">
        <v>14</v>
      </c>
      <c r="B296" s="12" t="s">
        <v>118</v>
      </c>
      <c r="D296" s="4">
        <v>2</v>
      </c>
      <c r="E296" s="4" t="s">
        <v>173</v>
      </c>
      <c r="F296" s="35">
        <v>20.562375068664501</v>
      </c>
      <c r="G296" s="4">
        <v>4866</v>
      </c>
      <c r="J296" s="4">
        <v>2</v>
      </c>
      <c r="K296" s="4" t="s">
        <v>175</v>
      </c>
      <c r="L296" s="35">
        <v>58.5726671218872</v>
      </c>
      <c r="M296" s="4">
        <v>6664</v>
      </c>
      <c r="P296" s="4">
        <v>2</v>
      </c>
      <c r="Q296" s="4" t="s">
        <v>173</v>
      </c>
      <c r="R296" s="35">
        <v>8.8061280250549299</v>
      </c>
      <c r="S296" s="4">
        <v>1678</v>
      </c>
      <c r="V296" s="4">
        <v>2</v>
      </c>
      <c r="W296" s="4" t="s">
        <v>173</v>
      </c>
      <c r="X296" s="35">
        <v>19.763878822326699</v>
      </c>
      <c r="Y296" s="4">
        <v>1577</v>
      </c>
      <c r="AB296" s="4">
        <v>2</v>
      </c>
      <c r="AC296" s="4" t="s">
        <v>173</v>
      </c>
      <c r="AD296" s="35">
        <v>7.4720158576965297</v>
      </c>
      <c r="AE296" s="4">
        <v>1833</v>
      </c>
      <c r="AH296" s="4">
        <v>2</v>
      </c>
      <c r="AI296" s="4" t="s">
        <v>175</v>
      </c>
      <c r="AJ296" s="35">
        <v>15.059723377227799</v>
      </c>
      <c r="AK296" s="4" t="s">
        <v>180</v>
      </c>
    </row>
    <row r="297" spans="1:37" x14ac:dyDescent="0.2">
      <c r="A297" s="34">
        <v>15</v>
      </c>
      <c r="B297" s="12" t="s">
        <v>119</v>
      </c>
      <c r="D297" s="4">
        <v>2</v>
      </c>
      <c r="E297" s="4" t="s">
        <v>173</v>
      </c>
      <c r="F297" s="35">
        <v>5.7916789054870597</v>
      </c>
      <c r="G297" s="4">
        <v>2591</v>
      </c>
      <c r="J297" s="4">
        <v>2</v>
      </c>
      <c r="K297" s="4" t="s">
        <v>173</v>
      </c>
      <c r="L297" s="35">
        <v>23.345490694045999</v>
      </c>
      <c r="M297" s="4">
        <v>3700</v>
      </c>
      <c r="P297" s="4">
        <v>2</v>
      </c>
      <c r="Q297" s="4" t="s">
        <v>175</v>
      </c>
      <c r="R297" s="35">
        <v>7.0653803348541304</v>
      </c>
      <c r="S297" s="4">
        <v>1183</v>
      </c>
      <c r="V297" s="4">
        <v>2</v>
      </c>
      <c r="W297" s="4" t="s">
        <v>173</v>
      </c>
      <c r="X297" s="35">
        <v>7.2694385051727304</v>
      </c>
      <c r="Y297" s="4">
        <v>1157</v>
      </c>
      <c r="AB297" s="4">
        <v>2</v>
      </c>
      <c r="AC297" s="4" t="s">
        <v>173</v>
      </c>
      <c r="AD297" s="35">
        <v>12.1853904724121</v>
      </c>
      <c r="AE297" s="4">
        <v>1312</v>
      </c>
      <c r="AH297" s="4">
        <v>2</v>
      </c>
      <c r="AI297" s="4" t="s">
        <v>173</v>
      </c>
      <c r="AJ297" s="35">
        <v>11.751176118850699</v>
      </c>
      <c r="AK297" s="4" t="s">
        <v>180</v>
      </c>
    </row>
    <row r="298" spans="1:37" x14ac:dyDescent="0.2">
      <c r="A298" s="34">
        <v>16</v>
      </c>
      <c r="B298" s="12" t="s">
        <v>120</v>
      </c>
      <c r="D298" s="4">
        <v>2</v>
      </c>
      <c r="E298" s="4" t="s">
        <v>173</v>
      </c>
      <c r="F298" s="35">
        <v>6.8020308017730704</v>
      </c>
      <c r="G298" s="4">
        <v>2680</v>
      </c>
      <c r="J298" s="4">
        <v>2</v>
      </c>
      <c r="K298" s="4" t="s">
        <v>173</v>
      </c>
      <c r="L298" s="35">
        <v>23.3228743076324</v>
      </c>
      <c r="M298" s="4">
        <v>3731</v>
      </c>
      <c r="P298" s="4">
        <v>2</v>
      </c>
      <c r="Q298" s="4" t="s">
        <v>175</v>
      </c>
      <c r="R298" s="35">
        <v>7.88448262214661</v>
      </c>
      <c r="S298" s="4">
        <v>1211</v>
      </c>
      <c r="V298" s="4">
        <v>2</v>
      </c>
      <c r="W298" s="4" t="s">
        <v>173</v>
      </c>
      <c r="X298" s="35">
        <v>8.4990930557250994</v>
      </c>
      <c r="Y298" s="4">
        <v>1179</v>
      </c>
      <c r="AB298" s="4">
        <v>2</v>
      </c>
      <c r="AC298" s="4" t="s">
        <v>175</v>
      </c>
      <c r="AD298" s="35">
        <v>7.9872689247131401</v>
      </c>
      <c r="AE298" s="4">
        <v>1344</v>
      </c>
      <c r="AH298" s="4">
        <v>2</v>
      </c>
      <c r="AI298" s="4" t="s">
        <v>173</v>
      </c>
      <c r="AJ298" s="35">
        <v>11.8254337310791</v>
      </c>
      <c r="AK298" s="4" t="s">
        <v>180</v>
      </c>
    </row>
    <row r="299" spans="1:37" x14ac:dyDescent="0.2">
      <c r="A299" s="34">
        <v>17</v>
      </c>
      <c r="B299" s="12" t="s">
        <v>121</v>
      </c>
      <c r="D299" s="4">
        <v>2</v>
      </c>
      <c r="E299" s="4" t="s">
        <v>173</v>
      </c>
      <c r="F299" s="35">
        <v>6.75823998451233</v>
      </c>
      <c r="G299" s="4">
        <v>2803</v>
      </c>
      <c r="J299" s="4">
        <v>2</v>
      </c>
      <c r="K299" s="4" t="s">
        <v>173</v>
      </c>
      <c r="L299" s="35">
        <v>24.087560176849401</v>
      </c>
      <c r="M299" s="4">
        <v>3991</v>
      </c>
      <c r="P299" s="4">
        <v>2</v>
      </c>
      <c r="Q299" s="4" t="s">
        <v>173</v>
      </c>
      <c r="R299" s="35">
        <v>9.4210667610168493</v>
      </c>
      <c r="S299" s="4">
        <v>1321</v>
      </c>
      <c r="V299" s="4">
        <v>2</v>
      </c>
      <c r="W299" s="4" t="s">
        <v>173</v>
      </c>
      <c r="X299" s="35">
        <v>7.7820620536804199</v>
      </c>
      <c r="Y299" s="4">
        <v>1251</v>
      </c>
      <c r="AB299" s="4">
        <v>2</v>
      </c>
      <c r="AC299" s="4" t="s">
        <v>173</v>
      </c>
      <c r="AD299" s="35">
        <v>10.2417697906494</v>
      </c>
      <c r="AE299" s="4">
        <v>1475</v>
      </c>
      <c r="AH299" s="4">
        <v>2</v>
      </c>
      <c r="AI299" s="4" t="s">
        <v>175</v>
      </c>
      <c r="AJ299" s="35">
        <v>13.362224102020299</v>
      </c>
      <c r="AK299" s="4" t="s">
        <v>180</v>
      </c>
    </row>
    <row r="300" spans="1:37" x14ac:dyDescent="0.2">
      <c r="A300" s="34">
        <v>18</v>
      </c>
      <c r="B300" s="12" t="s">
        <v>122</v>
      </c>
      <c r="D300" s="4">
        <v>2</v>
      </c>
      <c r="E300" s="4" t="s">
        <v>175</v>
      </c>
      <c r="F300" s="35">
        <v>5.9403743743896502</v>
      </c>
      <c r="G300" s="4">
        <v>2665</v>
      </c>
      <c r="J300" s="4">
        <v>2</v>
      </c>
      <c r="K300" s="4" t="s">
        <v>175</v>
      </c>
      <c r="L300" s="35">
        <v>37.375557184219403</v>
      </c>
      <c r="M300" s="4">
        <v>4954</v>
      </c>
      <c r="P300" s="4">
        <v>2</v>
      </c>
      <c r="Q300" s="4" t="s">
        <v>173</v>
      </c>
      <c r="R300" s="35">
        <v>8.3968019485473597</v>
      </c>
      <c r="S300" s="4">
        <v>1265</v>
      </c>
      <c r="V300" s="4">
        <v>2</v>
      </c>
      <c r="W300" s="4" t="s">
        <v>175</v>
      </c>
      <c r="X300" s="35">
        <v>10.5889456272125</v>
      </c>
      <c r="Y300" s="4">
        <v>1252</v>
      </c>
      <c r="AB300" s="4">
        <v>2</v>
      </c>
      <c r="AC300" s="4" t="s">
        <v>173</v>
      </c>
      <c r="AD300" s="35">
        <v>7.2669630050659197</v>
      </c>
      <c r="AE300" s="4">
        <v>1407</v>
      </c>
      <c r="AH300" s="4">
        <v>2</v>
      </c>
      <c r="AI300" s="4" t="s">
        <v>175</v>
      </c>
      <c r="AJ300" s="35">
        <v>12.0672528743744</v>
      </c>
      <c r="AK300" s="4" t="s">
        <v>180</v>
      </c>
    </row>
    <row r="301" spans="1:37" x14ac:dyDescent="0.2">
      <c r="A301" s="34">
        <v>19</v>
      </c>
      <c r="B301" s="11" t="s">
        <v>247</v>
      </c>
      <c r="D301" s="4">
        <v>2</v>
      </c>
      <c r="E301" s="4" t="s">
        <v>173</v>
      </c>
      <c r="F301" s="35">
        <v>5.7871286869049099</v>
      </c>
      <c r="G301" s="4">
        <v>2669</v>
      </c>
      <c r="J301" s="4">
        <v>2</v>
      </c>
      <c r="K301" s="4" t="s">
        <v>173</v>
      </c>
      <c r="L301" s="35">
        <v>15.626900434494001</v>
      </c>
      <c r="M301" s="4">
        <v>3137</v>
      </c>
      <c r="P301" s="4">
        <v>2</v>
      </c>
      <c r="Q301" s="4" t="s">
        <v>173</v>
      </c>
      <c r="R301" s="35">
        <v>9.5070548057556206</v>
      </c>
      <c r="S301" s="4">
        <v>1529</v>
      </c>
      <c r="V301" s="4">
        <v>2</v>
      </c>
      <c r="W301" s="4" t="s">
        <v>175</v>
      </c>
      <c r="X301" s="35">
        <v>18.7451362609863</v>
      </c>
      <c r="Y301" s="4">
        <v>1449</v>
      </c>
      <c r="AB301" s="4">
        <v>2</v>
      </c>
      <c r="AC301" s="4" t="s">
        <v>173</v>
      </c>
      <c r="AD301" s="35">
        <v>8.94726467132568</v>
      </c>
      <c r="AE301" s="4">
        <v>1761</v>
      </c>
      <c r="AH301" s="4">
        <v>2</v>
      </c>
    </row>
    <row r="302" spans="1:37" x14ac:dyDescent="0.2">
      <c r="A302" s="34">
        <v>20</v>
      </c>
      <c r="B302" s="11" t="s">
        <v>81</v>
      </c>
      <c r="D302" s="4">
        <v>2</v>
      </c>
      <c r="E302" s="4" t="s">
        <v>175</v>
      </c>
      <c r="F302" s="35">
        <v>11.5728068351746</v>
      </c>
      <c r="G302" s="4">
        <v>3726</v>
      </c>
      <c r="J302" s="4">
        <v>2</v>
      </c>
      <c r="K302" s="4" t="s">
        <v>175</v>
      </c>
      <c r="L302" s="35">
        <v>26.180001735687298</v>
      </c>
      <c r="M302" s="4">
        <v>3992</v>
      </c>
      <c r="P302" s="4">
        <v>2</v>
      </c>
      <c r="Q302" s="4" t="s">
        <v>173</v>
      </c>
      <c r="R302" s="35">
        <v>9.0048048496246302</v>
      </c>
      <c r="S302" s="4">
        <v>1598</v>
      </c>
      <c r="V302" s="4">
        <v>2</v>
      </c>
      <c r="W302" s="4" t="s">
        <v>175</v>
      </c>
      <c r="X302" s="35">
        <v>14.5640425682068</v>
      </c>
      <c r="Y302" s="4">
        <v>1493</v>
      </c>
      <c r="AB302" s="4">
        <v>2</v>
      </c>
      <c r="AC302" s="4" t="s">
        <v>175</v>
      </c>
      <c r="AD302" s="35">
        <v>8.7643482685089094</v>
      </c>
      <c r="AE302" s="4">
        <v>1805</v>
      </c>
      <c r="AH302" s="4">
        <v>2</v>
      </c>
    </row>
    <row r="303" spans="1:37" x14ac:dyDescent="0.2">
      <c r="A303" s="34">
        <v>21</v>
      </c>
      <c r="B303" s="11" t="s">
        <v>76</v>
      </c>
      <c r="D303" s="4">
        <v>2</v>
      </c>
      <c r="E303" s="4" t="s">
        <v>173</v>
      </c>
      <c r="F303" s="35">
        <v>4.5035653114318901</v>
      </c>
      <c r="G303" s="4">
        <v>2540</v>
      </c>
      <c r="J303" s="4">
        <v>2</v>
      </c>
      <c r="K303" s="4" t="s">
        <v>173</v>
      </c>
      <c r="L303" s="35">
        <v>16.793364763259898</v>
      </c>
      <c r="M303" s="4">
        <v>3324</v>
      </c>
      <c r="P303" s="4">
        <v>2</v>
      </c>
      <c r="Q303" s="4" t="s">
        <v>173</v>
      </c>
      <c r="R303" s="35">
        <v>9.4204537868499791</v>
      </c>
      <c r="S303" s="4">
        <v>1401</v>
      </c>
      <c r="V303" s="4">
        <v>2</v>
      </c>
      <c r="W303" s="4" t="s">
        <v>173</v>
      </c>
      <c r="X303" s="35">
        <v>11.775632858276399</v>
      </c>
      <c r="Y303" s="4">
        <v>1340</v>
      </c>
      <c r="AB303" s="4">
        <v>2</v>
      </c>
      <c r="AC303" s="4" t="s">
        <v>173</v>
      </c>
      <c r="AD303" s="35">
        <v>8.2263431549072301</v>
      </c>
      <c r="AE303" s="4">
        <v>1583</v>
      </c>
      <c r="AH303" s="4">
        <v>2</v>
      </c>
    </row>
    <row r="304" spans="1:37" x14ac:dyDescent="0.2">
      <c r="A304" s="34">
        <v>22</v>
      </c>
      <c r="B304" s="11" t="s">
        <v>78</v>
      </c>
      <c r="D304" s="4">
        <v>2</v>
      </c>
      <c r="E304" s="4" t="s">
        <v>173</v>
      </c>
      <c r="F304" s="35">
        <v>5.8470556735992396</v>
      </c>
      <c r="G304" s="4">
        <v>2767</v>
      </c>
      <c r="J304" s="4">
        <v>2</v>
      </c>
      <c r="K304" s="4" t="s">
        <v>173</v>
      </c>
      <c r="L304" s="35">
        <v>22.4258952140808</v>
      </c>
      <c r="M304" s="4">
        <v>3771</v>
      </c>
      <c r="P304" s="4">
        <v>2</v>
      </c>
      <c r="Q304" s="4" t="s">
        <v>173</v>
      </c>
      <c r="R304" s="35">
        <v>8.7039923667907697</v>
      </c>
      <c r="S304" s="4">
        <v>1485</v>
      </c>
      <c r="V304" s="4">
        <v>2</v>
      </c>
      <c r="W304" s="4" t="s">
        <v>175</v>
      </c>
      <c r="X304" s="35">
        <v>10.7845096588135</v>
      </c>
      <c r="Y304" s="4">
        <v>1406</v>
      </c>
      <c r="AB304" s="4">
        <v>2</v>
      </c>
      <c r="AC304" s="4" t="s">
        <v>175</v>
      </c>
      <c r="AD304" s="35">
        <v>7.8845238685607901</v>
      </c>
      <c r="AE304" s="4">
        <v>1676</v>
      </c>
      <c r="AH304" s="4">
        <v>2</v>
      </c>
    </row>
    <row r="305" spans="1:34" x14ac:dyDescent="0.2">
      <c r="A305" s="34">
        <v>23</v>
      </c>
      <c r="B305" s="11" t="s">
        <v>78</v>
      </c>
      <c r="D305" s="4">
        <v>2</v>
      </c>
      <c r="E305" s="4" t="s">
        <v>173</v>
      </c>
      <c r="F305" s="35">
        <v>9.20540547370911</v>
      </c>
      <c r="G305" s="4">
        <v>3241</v>
      </c>
      <c r="J305" s="4">
        <v>2</v>
      </c>
      <c r="K305" s="4" t="s">
        <v>175</v>
      </c>
      <c r="L305" s="35">
        <v>35.037612676620498</v>
      </c>
      <c r="M305" s="4">
        <v>4897</v>
      </c>
      <c r="P305" s="4">
        <v>2</v>
      </c>
      <c r="Q305" s="4" t="s">
        <v>173</v>
      </c>
      <c r="R305" s="35">
        <v>10.5823106765747</v>
      </c>
      <c r="S305" s="4">
        <v>1547</v>
      </c>
      <c r="V305" s="4">
        <v>2</v>
      </c>
      <c r="W305" s="4" t="s">
        <v>175</v>
      </c>
      <c r="X305" s="35">
        <v>13.9425587654114</v>
      </c>
      <c r="Y305" s="4">
        <v>1503</v>
      </c>
      <c r="AB305" s="4">
        <v>2</v>
      </c>
      <c r="AC305" s="4" t="s">
        <v>175</v>
      </c>
      <c r="AD305" s="35">
        <v>9.5209398269653303</v>
      </c>
      <c r="AE305" s="4">
        <v>1762</v>
      </c>
      <c r="AH305" s="4">
        <v>2</v>
      </c>
    </row>
    <row r="306" spans="1:34" x14ac:dyDescent="0.2">
      <c r="A306" s="34">
        <v>24</v>
      </c>
      <c r="B306" s="11" t="s">
        <v>76</v>
      </c>
      <c r="D306" s="4">
        <v>2</v>
      </c>
      <c r="E306" s="4" t="s">
        <v>173</v>
      </c>
      <c r="F306" s="35">
        <v>7.0648434162139901</v>
      </c>
      <c r="G306" s="4">
        <v>2878</v>
      </c>
      <c r="J306" s="4">
        <v>2</v>
      </c>
      <c r="K306" s="4" t="s">
        <v>173</v>
      </c>
      <c r="L306" s="35">
        <v>27.151816368102999</v>
      </c>
      <c r="M306" s="4">
        <v>4279</v>
      </c>
      <c r="P306" s="4">
        <v>2</v>
      </c>
      <c r="Q306" s="4" t="s">
        <v>173</v>
      </c>
      <c r="R306" s="35">
        <v>8.9757649898529106</v>
      </c>
      <c r="S306" s="4">
        <v>1692</v>
      </c>
      <c r="V306" s="4">
        <v>2</v>
      </c>
      <c r="W306" s="4" t="s">
        <v>175</v>
      </c>
      <c r="X306" s="35">
        <v>9.7813601493835503</v>
      </c>
      <c r="Y306" s="4">
        <v>1613</v>
      </c>
      <c r="AB306" s="4">
        <v>2</v>
      </c>
      <c r="AC306" s="4" t="s">
        <v>175</v>
      </c>
      <c r="AD306" s="35">
        <v>8.7061831951141393</v>
      </c>
      <c r="AE306" s="4">
        <v>1922</v>
      </c>
      <c r="AH306" s="4">
        <v>2</v>
      </c>
    </row>
    <row r="307" spans="1:34" x14ac:dyDescent="0.2">
      <c r="A307" s="34">
        <v>25</v>
      </c>
      <c r="B307" s="11" t="s">
        <v>78</v>
      </c>
      <c r="D307" s="4">
        <v>2</v>
      </c>
      <c r="E307" s="4" t="s">
        <v>173</v>
      </c>
      <c r="F307" s="35">
        <v>5.0490136146545401</v>
      </c>
      <c r="G307" s="4">
        <v>2603</v>
      </c>
      <c r="J307" s="4">
        <v>2</v>
      </c>
      <c r="K307" s="4" t="s">
        <v>173</v>
      </c>
      <c r="L307" s="35">
        <v>13.5921740531921</v>
      </c>
      <c r="M307" s="4">
        <v>3115</v>
      </c>
      <c r="P307" s="4">
        <v>2</v>
      </c>
      <c r="Q307" s="4" t="s">
        <v>175</v>
      </c>
      <c r="R307" s="35">
        <v>11.4684603214264</v>
      </c>
      <c r="S307" s="4">
        <v>1481</v>
      </c>
      <c r="V307" s="4">
        <v>2</v>
      </c>
      <c r="W307" s="4" t="s">
        <v>175</v>
      </c>
      <c r="X307" s="35">
        <v>13.8239297866821</v>
      </c>
      <c r="Y307" s="4">
        <v>1414</v>
      </c>
      <c r="AB307" s="4">
        <v>2</v>
      </c>
      <c r="AC307" s="4" t="s">
        <v>175</v>
      </c>
      <c r="AD307" s="35">
        <v>8.1917424201965297</v>
      </c>
      <c r="AE307" s="4">
        <v>1708</v>
      </c>
      <c r="AH307" s="4">
        <v>2</v>
      </c>
    </row>
    <row r="308" spans="1:34" x14ac:dyDescent="0.2">
      <c r="A308" s="34">
        <v>26</v>
      </c>
      <c r="B308" s="11" t="s">
        <v>78</v>
      </c>
      <c r="D308" s="4">
        <v>2</v>
      </c>
      <c r="E308" s="4" t="s">
        <v>175</v>
      </c>
      <c r="F308" s="35">
        <v>5.9767012596130398</v>
      </c>
      <c r="G308" s="4">
        <v>2705</v>
      </c>
      <c r="J308" s="4">
        <v>2</v>
      </c>
      <c r="K308" s="4" t="s">
        <v>175</v>
      </c>
      <c r="L308" s="35">
        <v>20.607266426086401</v>
      </c>
      <c r="M308" s="4">
        <v>3738</v>
      </c>
      <c r="P308" s="4">
        <v>2</v>
      </c>
      <c r="Q308" s="4" t="s">
        <v>173</v>
      </c>
      <c r="R308" s="35">
        <v>10.363543272018401</v>
      </c>
      <c r="S308" s="4">
        <v>1610</v>
      </c>
      <c r="V308" s="4">
        <v>2</v>
      </c>
      <c r="W308" s="4" t="s">
        <v>175</v>
      </c>
      <c r="X308" s="35">
        <v>9.72813177108765</v>
      </c>
      <c r="Y308" s="4">
        <v>1486</v>
      </c>
      <c r="AB308" s="4">
        <v>2</v>
      </c>
      <c r="AC308" s="4" t="s">
        <v>175</v>
      </c>
      <c r="AD308" s="35">
        <v>9.1138501167297399</v>
      </c>
      <c r="AE308" s="4">
        <v>1786</v>
      </c>
      <c r="AH308" s="4">
        <v>2</v>
      </c>
    </row>
    <row r="309" spans="1:34" x14ac:dyDescent="0.2">
      <c r="A309" s="34">
        <v>27</v>
      </c>
      <c r="B309" s="11" t="s">
        <v>78</v>
      </c>
      <c r="D309" s="4">
        <v>2</v>
      </c>
      <c r="E309" s="4" t="s">
        <v>173</v>
      </c>
      <c r="F309" s="35">
        <v>4.1294631958007804</v>
      </c>
      <c r="G309" s="4">
        <v>2478</v>
      </c>
      <c r="J309" s="4">
        <v>2</v>
      </c>
      <c r="K309" s="4" t="s">
        <v>173</v>
      </c>
      <c r="L309" s="35">
        <v>21.2684342861176</v>
      </c>
      <c r="M309" s="4">
        <v>3794</v>
      </c>
      <c r="P309" s="4">
        <v>2</v>
      </c>
      <c r="Q309" s="4" t="s">
        <v>173</v>
      </c>
      <c r="R309" s="35">
        <v>11.042125940322901</v>
      </c>
      <c r="S309" s="4">
        <v>1487</v>
      </c>
      <c r="V309" s="4">
        <v>2</v>
      </c>
      <c r="W309" s="4" t="s">
        <v>175</v>
      </c>
      <c r="X309" s="35">
        <v>15.769245147705099</v>
      </c>
      <c r="Y309" s="4">
        <v>1446</v>
      </c>
      <c r="AB309" s="4">
        <v>2</v>
      </c>
      <c r="AC309" s="4" t="s">
        <v>175</v>
      </c>
      <c r="AD309" s="35">
        <v>8.4154818058013898</v>
      </c>
      <c r="AE309" s="4">
        <v>1736</v>
      </c>
      <c r="AH309" s="4">
        <v>2</v>
      </c>
    </row>
    <row r="310" spans="1:34" x14ac:dyDescent="0.2">
      <c r="A310" s="34">
        <v>28</v>
      </c>
      <c r="B310" s="11" t="s">
        <v>78</v>
      </c>
      <c r="D310" s="4">
        <v>2</v>
      </c>
      <c r="E310" s="4" t="s">
        <v>173</v>
      </c>
      <c r="F310" s="35">
        <v>4.8127212524414098</v>
      </c>
      <c r="G310" s="4">
        <v>2654</v>
      </c>
      <c r="J310" s="4">
        <v>2</v>
      </c>
      <c r="K310" s="4" t="s">
        <v>173</v>
      </c>
      <c r="L310" s="35">
        <v>69.121397018432603</v>
      </c>
      <c r="M310" s="4">
        <v>8224</v>
      </c>
      <c r="P310" s="4">
        <v>2</v>
      </c>
      <c r="Q310" s="4" t="s">
        <v>175</v>
      </c>
      <c r="R310" s="35">
        <v>11.873997926712001</v>
      </c>
      <c r="S310" s="4">
        <v>1587</v>
      </c>
      <c r="V310" s="4">
        <v>2</v>
      </c>
      <c r="W310" s="4" t="s">
        <v>173</v>
      </c>
      <c r="X310" s="35">
        <v>11.7757911682129</v>
      </c>
      <c r="Y310" s="4">
        <v>1488</v>
      </c>
      <c r="AB310" s="4">
        <v>2</v>
      </c>
      <c r="AC310" s="4" t="s">
        <v>173</v>
      </c>
      <c r="AD310" s="35">
        <v>8.0700092315673793</v>
      </c>
      <c r="AE310" s="4">
        <v>1759</v>
      </c>
      <c r="AH310" s="4">
        <v>2</v>
      </c>
    </row>
    <row r="311" spans="1:34" x14ac:dyDescent="0.2">
      <c r="A311" s="34">
        <v>29</v>
      </c>
      <c r="B311" s="11" t="s">
        <v>123</v>
      </c>
      <c r="D311" s="4">
        <v>2</v>
      </c>
      <c r="E311" s="4" t="s">
        <v>173</v>
      </c>
      <c r="F311" s="35">
        <v>4.9159500598907497</v>
      </c>
      <c r="G311" s="4">
        <v>2598</v>
      </c>
      <c r="J311" s="4">
        <v>2</v>
      </c>
      <c r="K311" s="4" t="s">
        <v>173</v>
      </c>
      <c r="L311" s="35">
        <v>20.8355791568756</v>
      </c>
      <c r="M311" s="4">
        <v>3553</v>
      </c>
      <c r="P311" s="4">
        <v>2</v>
      </c>
      <c r="Q311" s="4" t="s">
        <v>175</v>
      </c>
      <c r="R311" s="35">
        <v>10.957050800323501</v>
      </c>
      <c r="S311" s="4">
        <v>1639</v>
      </c>
      <c r="V311" s="4">
        <v>2</v>
      </c>
      <c r="W311" s="4" t="s">
        <v>173</v>
      </c>
      <c r="X311" s="35">
        <v>11.9809715747833</v>
      </c>
      <c r="Y311" s="4">
        <v>1592</v>
      </c>
      <c r="AB311" s="4">
        <v>2</v>
      </c>
      <c r="AC311" s="4" t="s">
        <v>173</v>
      </c>
      <c r="AD311" s="35">
        <v>9.7281045913696307</v>
      </c>
      <c r="AE311" s="4">
        <v>1860</v>
      </c>
      <c r="AH311" s="4">
        <v>2</v>
      </c>
    </row>
    <row r="312" spans="1:34" x14ac:dyDescent="0.2">
      <c r="A312" s="34">
        <v>30</v>
      </c>
      <c r="B312" s="11" t="s">
        <v>123</v>
      </c>
      <c r="D312" s="4">
        <v>2</v>
      </c>
      <c r="E312" s="4" t="s">
        <v>175</v>
      </c>
      <c r="F312" s="35">
        <v>5.01660180091858</v>
      </c>
      <c r="G312" s="4">
        <v>2578</v>
      </c>
      <c r="J312" s="4">
        <v>2</v>
      </c>
      <c r="K312" s="4" t="s">
        <v>175</v>
      </c>
      <c r="L312" s="35">
        <v>20.563521146774299</v>
      </c>
      <c r="M312" s="4">
        <v>3629</v>
      </c>
      <c r="P312" s="4">
        <v>2</v>
      </c>
      <c r="Q312" s="4" t="s">
        <v>173</v>
      </c>
      <c r="R312" s="35">
        <v>10.0357303619385</v>
      </c>
      <c r="S312" s="4">
        <v>1536</v>
      </c>
      <c r="V312" s="4">
        <v>2</v>
      </c>
      <c r="W312" s="4" t="s">
        <v>175</v>
      </c>
      <c r="X312" s="35">
        <v>14.847965955734299</v>
      </c>
      <c r="Y312" s="4">
        <v>1466</v>
      </c>
      <c r="AB312" s="4">
        <v>2</v>
      </c>
      <c r="AC312" s="4" t="s">
        <v>175</v>
      </c>
      <c r="AD312" s="35">
        <v>7.4328863620758101</v>
      </c>
      <c r="AE312" s="4">
        <v>1726</v>
      </c>
      <c r="AH312" s="4">
        <v>2</v>
      </c>
    </row>
    <row r="313" spans="1:34" x14ac:dyDescent="0.2">
      <c r="A313" s="34">
        <v>31</v>
      </c>
      <c r="B313" s="11" t="s">
        <v>124</v>
      </c>
      <c r="D313" s="4">
        <v>2</v>
      </c>
      <c r="E313" s="4" t="s">
        <v>175</v>
      </c>
      <c r="F313" s="35">
        <v>7.6795728206634504</v>
      </c>
      <c r="G313" s="4">
        <v>3033</v>
      </c>
      <c r="J313" s="4">
        <v>2</v>
      </c>
      <c r="K313" s="4" t="s">
        <v>175</v>
      </c>
      <c r="L313" s="35">
        <v>47.042421817779498</v>
      </c>
      <c r="M313" s="4">
        <v>6488</v>
      </c>
      <c r="P313" s="4">
        <v>2</v>
      </c>
      <c r="Q313" s="4" t="s">
        <v>173</v>
      </c>
      <c r="R313" s="35">
        <v>11.262856960296601</v>
      </c>
      <c r="S313" s="4">
        <v>1389</v>
      </c>
      <c r="V313" s="4">
        <v>2</v>
      </c>
      <c r="W313" s="4" t="s">
        <v>175</v>
      </c>
      <c r="X313" s="35">
        <v>12.492319345474201</v>
      </c>
      <c r="Y313" s="4">
        <v>1329</v>
      </c>
      <c r="AB313" s="4">
        <v>2</v>
      </c>
      <c r="AC313" s="4" t="s">
        <v>175</v>
      </c>
      <c r="AD313" s="35">
        <v>8.16166496276856</v>
      </c>
      <c r="AE313" s="4">
        <v>1554</v>
      </c>
      <c r="AH313" s="4">
        <v>2</v>
      </c>
    </row>
    <row r="314" spans="1:34" x14ac:dyDescent="0.2">
      <c r="A314" s="34">
        <v>32</v>
      </c>
      <c r="B314" s="11" t="s">
        <v>124</v>
      </c>
      <c r="D314" s="4">
        <v>2</v>
      </c>
      <c r="E314" s="4" t="s">
        <v>173</v>
      </c>
      <c r="F314" s="35">
        <v>4.8835260868072501</v>
      </c>
      <c r="G314" s="4">
        <v>2569</v>
      </c>
      <c r="J314" s="4">
        <v>2</v>
      </c>
      <c r="K314" s="4" t="s">
        <v>173</v>
      </c>
      <c r="L314" s="35">
        <v>14.2636501789093</v>
      </c>
      <c r="M314" s="4">
        <v>3023</v>
      </c>
      <c r="P314" s="4">
        <v>2</v>
      </c>
      <c r="Q314" s="4" t="s">
        <v>173</v>
      </c>
      <c r="R314" s="35">
        <v>8.8066990375518799</v>
      </c>
      <c r="S314" s="4">
        <v>1126</v>
      </c>
      <c r="V314" s="4">
        <v>2</v>
      </c>
      <c r="W314" s="4" t="s">
        <v>173</v>
      </c>
      <c r="X314" s="35">
        <v>11.3499426841736</v>
      </c>
      <c r="Y314" s="4">
        <v>1161</v>
      </c>
      <c r="AB314" s="4">
        <v>2</v>
      </c>
      <c r="AC314" s="4" t="s">
        <v>173</v>
      </c>
      <c r="AD314" s="35">
        <v>7.5474901199340803</v>
      </c>
      <c r="AE314" s="4">
        <v>1276</v>
      </c>
      <c r="AH314" s="4">
        <v>2</v>
      </c>
    </row>
    <row r="315" spans="1:34" x14ac:dyDescent="0.2">
      <c r="A315" s="34">
        <v>33</v>
      </c>
      <c r="B315" s="11" t="s">
        <v>78</v>
      </c>
      <c r="D315" s="4">
        <v>2</v>
      </c>
      <c r="E315" s="4" t="s">
        <v>173</v>
      </c>
      <c r="F315" s="35">
        <v>5.0490210056304896</v>
      </c>
      <c r="G315" s="4">
        <v>2574</v>
      </c>
      <c r="J315" s="4">
        <v>2</v>
      </c>
      <c r="K315" s="4" t="s">
        <v>173</v>
      </c>
      <c r="L315" s="35">
        <v>14.438367843627899</v>
      </c>
      <c r="M315" s="4">
        <v>3092</v>
      </c>
      <c r="P315" s="4">
        <v>2</v>
      </c>
      <c r="Q315" s="4" t="s">
        <v>175</v>
      </c>
      <c r="R315" s="35">
        <v>9.1130843162536603</v>
      </c>
      <c r="S315" s="4">
        <v>1546</v>
      </c>
      <c r="V315" s="4">
        <v>2</v>
      </c>
      <c r="W315" s="4" t="s">
        <v>173</v>
      </c>
      <c r="X315" s="35">
        <v>13.942585706710799</v>
      </c>
      <c r="Y315" s="4">
        <v>1484</v>
      </c>
      <c r="AB315" s="4">
        <v>2</v>
      </c>
      <c r="AC315" s="4" t="s">
        <v>173</v>
      </c>
      <c r="AD315" s="35">
        <v>8.9218556880950892</v>
      </c>
      <c r="AE315" s="4">
        <v>1781</v>
      </c>
      <c r="AH315" s="4">
        <v>2</v>
      </c>
    </row>
    <row r="316" spans="1:34" x14ac:dyDescent="0.2">
      <c r="A316" s="34">
        <v>34</v>
      </c>
      <c r="B316" s="11" t="s">
        <v>125</v>
      </c>
      <c r="D316" s="4">
        <v>2</v>
      </c>
      <c r="E316" s="4" t="s">
        <v>173</v>
      </c>
      <c r="F316" s="35">
        <v>7.2704610824584996</v>
      </c>
      <c r="G316" s="4">
        <v>2911</v>
      </c>
      <c r="J316" s="4">
        <v>2</v>
      </c>
      <c r="K316" s="4" t="s">
        <v>173</v>
      </c>
      <c r="L316" s="35">
        <v>11.7762634754181</v>
      </c>
      <c r="M316" s="4">
        <v>2875</v>
      </c>
      <c r="P316" s="4">
        <v>2</v>
      </c>
      <c r="Q316" s="4" t="s">
        <v>173</v>
      </c>
      <c r="R316" s="35">
        <v>10.2407643795013</v>
      </c>
      <c r="S316" s="4">
        <v>1607</v>
      </c>
      <c r="V316" s="4">
        <v>2</v>
      </c>
      <c r="W316" s="4" t="s">
        <v>173</v>
      </c>
      <c r="X316" s="35">
        <v>13.8239579200745</v>
      </c>
      <c r="Y316" s="4">
        <v>1555</v>
      </c>
      <c r="AB316" s="4">
        <v>2</v>
      </c>
      <c r="AC316" s="4" t="s">
        <v>173</v>
      </c>
      <c r="AD316" s="35">
        <v>7.5527906417846697</v>
      </c>
      <c r="AE316" s="4">
        <v>1826</v>
      </c>
      <c r="AH316" s="4">
        <v>2</v>
      </c>
    </row>
    <row r="317" spans="1:34" x14ac:dyDescent="0.2">
      <c r="A317" s="34">
        <v>35</v>
      </c>
      <c r="B317" s="11" t="s">
        <v>104</v>
      </c>
      <c r="D317" s="4">
        <v>2</v>
      </c>
      <c r="E317" s="4" t="s">
        <v>173</v>
      </c>
      <c r="F317" s="35">
        <v>5.2221210002899197</v>
      </c>
      <c r="G317" s="4">
        <v>2609</v>
      </c>
      <c r="J317" s="4">
        <v>2</v>
      </c>
      <c r="K317" s="4" t="s">
        <v>173</v>
      </c>
      <c r="L317" s="35">
        <v>17.737501382827801</v>
      </c>
      <c r="M317" s="4">
        <v>3417</v>
      </c>
      <c r="P317" s="4">
        <v>2</v>
      </c>
      <c r="Q317" s="4" t="s">
        <v>173</v>
      </c>
      <c r="R317" s="35">
        <v>9.6275351047515905</v>
      </c>
      <c r="S317" s="4">
        <v>1519</v>
      </c>
      <c r="V317" s="4">
        <v>2</v>
      </c>
      <c r="W317" s="4" t="s">
        <v>173</v>
      </c>
      <c r="X317" s="35">
        <v>9.7330200672149694</v>
      </c>
      <c r="Y317" s="4">
        <v>1422</v>
      </c>
      <c r="AB317" s="4">
        <v>2</v>
      </c>
      <c r="AC317" s="4" t="s">
        <v>173</v>
      </c>
      <c r="AD317" s="35">
        <v>9.0000030994415301</v>
      </c>
      <c r="AE317" s="4">
        <v>1763</v>
      </c>
      <c r="AH317" s="4">
        <v>2</v>
      </c>
    </row>
    <row r="318" spans="1:34" x14ac:dyDescent="0.2">
      <c r="A318" s="34">
        <v>36</v>
      </c>
      <c r="B318" s="11" t="s">
        <v>104</v>
      </c>
      <c r="D318" s="4">
        <v>2</v>
      </c>
      <c r="E318" s="4" t="s">
        <v>173</v>
      </c>
      <c r="F318" s="35">
        <v>21.099978208541899</v>
      </c>
      <c r="G318" s="4">
        <v>5112</v>
      </c>
      <c r="J318" s="4">
        <v>2</v>
      </c>
      <c r="K318" s="4" t="s">
        <v>173</v>
      </c>
      <c r="L318" s="35">
        <v>39.299628973007202</v>
      </c>
      <c r="M318" s="4">
        <v>5121</v>
      </c>
      <c r="P318" s="4">
        <v>2</v>
      </c>
      <c r="Q318" s="4" t="s">
        <v>173</v>
      </c>
      <c r="R318" s="35">
        <v>12.591893196106</v>
      </c>
      <c r="S318" s="4">
        <v>1345</v>
      </c>
      <c r="V318" s="4">
        <v>2</v>
      </c>
      <c r="W318" s="4" t="s">
        <v>175</v>
      </c>
      <c r="X318" s="35">
        <v>9.7237529754638707</v>
      </c>
      <c r="Y318" s="4">
        <v>1269</v>
      </c>
      <c r="AB318" s="4">
        <v>2</v>
      </c>
      <c r="AC318" s="4" t="s">
        <v>175</v>
      </c>
      <c r="AD318" s="35">
        <v>8.7187530994415301</v>
      </c>
      <c r="AE318" s="4">
        <v>1479</v>
      </c>
      <c r="AH318" s="4">
        <v>2</v>
      </c>
    </row>
    <row r="319" spans="1:34" x14ac:dyDescent="0.2">
      <c r="A319" s="34">
        <v>37</v>
      </c>
      <c r="B319" s="11" t="s">
        <v>126</v>
      </c>
      <c r="D319" s="4">
        <v>2</v>
      </c>
      <c r="E319" s="4" t="s">
        <v>173</v>
      </c>
      <c r="F319" s="35">
        <v>26.927277803420999</v>
      </c>
      <c r="G319" s="4">
        <v>5990</v>
      </c>
      <c r="J319" s="4">
        <v>2</v>
      </c>
      <c r="K319" s="4" t="s">
        <v>173</v>
      </c>
      <c r="L319" s="35">
        <v>15.7690935134888</v>
      </c>
      <c r="M319" s="4">
        <v>3248</v>
      </c>
      <c r="P319" s="4">
        <v>2</v>
      </c>
      <c r="Q319" s="4" t="s">
        <v>173</v>
      </c>
      <c r="R319" s="35">
        <v>10.0424404144287</v>
      </c>
      <c r="S319" s="4">
        <v>1710</v>
      </c>
      <c r="V319" s="4">
        <v>2</v>
      </c>
      <c r="W319" s="4" t="s">
        <v>175</v>
      </c>
      <c r="X319" s="35">
        <v>15.992193460464501</v>
      </c>
      <c r="Y319" s="4">
        <v>1617</v>
      </c>
      <c r="AB319" s="4">
        <v>2</v>
      </c>
      <c r="AC319" s="4" t="s">
        <v>173</v>
      </c>
      <c r="AD319" s="35">
        <v>9.2233109474182093</v>
      </c>
      <c r="AE319" s="4">
        <v>1993</v>
      </c>
      <c r="AH319" s="4">
        <v>2</v>
      </c>
    </row>
    <row r="320" spans="1:34" x14ac:dyDescent="0.2">
      <c r="A320" s="34">
        <v>38</v>
      </c>
      <c r="B320" s="11" t="s">
        <v>126</v>
      </c>
      <c r="D320" s="4">
        <v>2</v>
      </c>
      <c r="E320" s="4" t="s">
        <v>175</v>
      </c>
      <c r="F320" s="35">
        <v>4.9140150547027597</v>
      </c>
      <c r="G320" s="4">
        <v>2570</v>
      </c>
      <c r="J320" s="4">
        <v>2</v>
      </c>
      <c r="K320" s="4" t="s">
        <v>175</v>
      </c>
      <c r="L320" s="35">
        <v>14.2338304519653</v>
      </c>
      <c r="M320" s="4">
        <v>3028</v>
      </c>
      <c r="P320" s="4">
        <v>2</v>
      </c>
      <c r="Q320" s="4" t="s">
        <v>175</v>
      </c>
      <c r="R320" s="35">
        <v>10.763852357864399</v>
      </c>
      <c r="S320" s="4">
        <v>1489</v>
      </c>
      <c r="V320" s="4">
        <v>2</v>
      </c>
      <c r="W320" s="4" t="s">
        <v>175</v>
      </c>
      <c r="X320" s="35">
        <v>14.8288187980652</v>
      </c>
      <c r="Y320" s="4">
        <v>1470</v>
      </c>
      <c r="AB320" s="4">
        <v>2</v>
      </c>
      <c r="AC320" s="4" t="s">
        <v>175</v>
      </c>
      <c r="AD320" s="35">
        <v>7.7822220325469997</v>
      </c>
      <c r="AE320" s="4">
        <v>1709</v>
      </c>
      <c r="AH320" s="4">
        <v>2</v>
      </c>
    </row>
    <row r="321" spans="1:37" x14ac:dyDescent="0.2">
      <c r="A321" s="34">
        <v>39</v>
      </c>
      <c r="B321" s="11" t="s">
        <v>126</v>
      </c>
      <c r="D321" s="4">
        <v>2</v>
      </c>
      <c r="E321" s="4" t="s">
        <v>175</v>
      </c>
      <c r="F321" s="35">
        <v>5.6149394512176496</v>
      </c>
      <c r="G321" s="4">
        <v>2718</v>
      </c>
      <c r="J321" s="4">
        <v>2</v>
      </c>
      <c r="K321" s="4" t="s">
        <v>173</v>
      </c>
      <c r="L321" s="35">
        <v>53.867336988449097</v>
      </c>
      <c r="M321" s="4">
        <v>6539</v>
      </c>
      <c r="P321" s="4">
        <v>2</v>
      </c>
      <c r="Q321" s="4" t="s">
        <v>175</v>
      </c>
      <c r="R321" s="35">
        <v>9.7084994316101092</v>
      </c>
      <c r="S321" s="4">
        <v>1671</v>
      </c>
      <c r="V321" s="4">
        <v>2</v>
      </c>
      <c r="W321" s="4" t="s">
        <v>173</v>
      </c>
      <c r="X321" s="35">
        <v>15.154654026031499</v>
      </c>
      <c r="Y321" s="4">
        <v>1651</v>
      </c>
      <c r="AB321" s="4">
        <v>2</v>
      </c>
      <c r="AC321" s="4" t="s">
        <v>175</v>
      </c>
      <c r="AD321" s="35">
        <v>8.3968067169189506</v>
      </c>
      <c r="AE321" s="4">
        <v>1892</v>
      </c>
      <c r="AH321" s="4">
        <v>2</v>
      </c>
    </row>
    <row r="322" spans="1:37" x14ac:dyDescent="0.2">
      <c r="A322" s="34">
        <v>40</v>
      </c>
      <c r="B322" s="11" t="s">
        <v>126</v>
      </c>
      <c r="D322" s="4">
        <v>2</v>
      </c>
      <c r="E322" s="4" t="s">
        <v>173</v>
      </c>
      <c r="F322" s="35">
        <v>8.2757053375244105</v>
      </c>
      <c r="G322" s="4">
        <v>3108</v>
      </c>
      <c r="J322" s="4">
        <v>2</v>
      </c>
      <c r="K322" s="4" t="s">
        <v>173</v>
      </c>
      <c r="L322" s="35">
        <v>25.180448293685899</v>
      </c>
      <c r="M322" s="4">
        <v>4089</v>
      </c>
      <c r="P322" s="4">
        <v>2</v>
      </c>
      <c r="Q322" s="4" t="s">
        <v>173</v>
      </c>
      <c r="R322" s="35">
        <v>7.5778717994689897</v>
      </c>
      <c r="S322" s="4">
        <v>1438</v>
      </c>
      <c r="V322" s="4">
        <v>2</v>
      </c>
      <c r="W322" s="4" t="s">
        <v>173</v>
      </c>
      <c r="X322" s="35">
        <v>11.9806277751923</v>
      </c>
      <c r="Y322" s="4">
        <v>1463</v>
      </c>
      <c r="AB322" s="4">
        <v>2</v>
      </c>
      <c r="AC322" s="4" t="s">
        <v>173</v>
      </c>
      <c r="AD322" s="35">
        <v>7.8452725410461399</v>
      </c>
      <c r="AE322" s="4">
        <v>1682</v>
      </c>
      <c r="AH322" s="4">
        <v>2</v>
      </c>
    </row>
    <row r="323" spans="1:37" x14ac:dyDescent="0.2">
      <c r="A323" s="34">
        <v>41</v>
      </c>
      <c r="B323" s="11" t="s">
        <v>104</v>
      </c>
      <c r="D323" s="4">
        <v>2</v>
      </c>
      <c r="E323" s="4" t="s">
        <v>173</v>
      </c>
      <c r="F323" s="35">
        <v>5.5205881595611599</v>
      </c>
      <c r="G323" s="4">
        <v>2678</v>
      </c>
      <c r="J323" s="4">
        <v>2</v>
      </c>
      <c r="K323" s="4" t="s">
        <v>173</v>
      </c>
      <c r="L323" s="35">
        <v>26.862145185470599</v>
      </c>
      <c r="M323" s="4">
        <v>4241</v>
      </c>
      <c r="P323" s="4">
        <v>2</v>
      </c>
      <c r="Q323" s="4" t="s">
        <v>173</v>
      </c>
      <c r="R323" s="35">
        <v>10.4205152988434</v>
      </c>
      <c r="S323" s="4">
        <v>1669</v>
      </c>
      <c r="V323" s="4">
        <v>2</v>
      </c>
      <c r="W323" s="4" t="s">
        <v>175</v>
      </c>
      <c r="X323" s="35">
        <v>17.1939296722412</v>
      </c>
      <c r="Y323" s="4">
        <v>1551</v>
      </c>
      <c r="AB323" s="4">
        <v>2</v>
      </c>
      <c r="AC323" s="4" t="s">
        <v>175</v>
      </c>
      <c r="AD323" s="35">
        <v>8.13067722320557</v>
      </c>
      <c r="AE323" s="4">
        <v>1877</v>
      </c>
      <c r="AH323" s="4">
        <v>2</v>
      </c>
    </row>
    <row r="324" spans="1:37" x14ac:dyDescent="0.2">
      <c r="A324" s="34">
        <v>42</v>
      </c>
      <c r="B324" s="11" t="s">
        <v>83</v>
      </c>
      <c r="D324" s="4">
        <v>2</v>
      </c>
      <c r="E324" s="4" t="s">
        <v>173</v>
      </c>
      <c r="F324" s="35">
        <v>5.2743456363677996</v>
      </c>
      <c r="G324" s="4">
        <v>2654</v>
      </c>
      <c r="J324" s="4">
        <v>2</v>
      </c>
      <c r="K324" s="4" t="s">
        <v>173</v>
      </c>
      <c r="L324" s="35">
        <v>26.595628499984699</v>
      </c>
      <c r="M324" s="4">
        <v>4072</v>
      </c>
      <c r="P324" s="4">
        <v>2</v>
      </c>
      <c r="Q324" s="4" t="s">
        <v>173</v>
      </c>
      <c r="R324" s="35">
        <v>8.7279112339019793</v>
      </c>
      <c r="S324" s="4">
        <v>1687</v>
      </c>
      <c r="V324" s="4">
        <v>2</v>
      </c>
      <c r="W324" s="4" t="s">
        <v>175</v>
      </c>
      <c r="X324" s="35">
        <v>11.1708652973175</v>
      </c>
      <c r="Y324" s="4">
        <v>1597</v>
      </c>
      <c r="AB324" s="4">
        <v>2</v>
      </c>
      <c r="AC324" s="4" t="s">
        <v>175</v>
      </c>
      <c r="AD324" s="35">
        <v>8.3946790695190394</v>
      </c>
      <c r="AE324" s="4">
        <v>1965</v>
      </c>
      <c r="AH324" s="4">
        <v>2</v>
      </c>
    </row>
    <row r="325" spans="1:37" x14ac:dyDescent="0.2">
      <c r="A325" s="34">
        <v>43</v>
      </c>
      <c r="B325" s="11" t="s">
        <v>123</v>
      </c>
      <c r="D325" s="4">
        <v>2</v>
      </c>
      <c r="E325" s="4" t="s">
        <v>173</v>
      </c>
      <c r="F325" s="35">
        <v>5.6090567111969003</v>
      </c>
      <c r="G325" s="4">
        <v>2646</v>
      </c>
      <c r="J325" s="4">
        <v>2</v>
      </c>
      <c r="K325" s="4" t="s">
        <v>173</v>
      </c>
      <c r="L325" s="35">
        <v>15.7689652442932</v>
      </c>
      <c r="M325" s="4">
        <v>3173</v>
      </c>
      <c r="P325" s="4">
        <v>2</v>
      </c>
      <c r="Q325" s="4" t="s">
        <v>175</v>
      </c>
      <c r="R325" s="35">
        <v>9.3181645870208705</v>
      </c>
      <c r="S325" s="4">
        <v>1133</v>
      </c>
      <c r="V325" s="4">
        <v>2</v>
      </c>
      <c r="W325" s="4" t="s">
        <v>175</v>
      </c>
      <c r="X325" s="35">
        <v>8.6013560295104998</v>
      </c>
      <c r="Y325" s="4">
        <v>1144</v>
      </c>
      <c r="AB325" s="4">
        <v>2</v>
      </c>
      <c r="AC325" s="4" t="s">
        <v>173</v>
      </c>
      <c r="AD325" s="35">
        <v>8.3925681114196795</v>
      </c>
      <c r="AE325" s="4">
        <v>1306</v>
      </c>
      <c r="AH325" s="4">
        <v>2</v>
      </c>
    </row>
    <row r="326" spans="1:37" x14ac:dyDescent="0.2">
      <c r="A326" s="34">
        <v>44</v>
      </c>
      <c r="B326" s="11" t="s">
        <v>104</v>
      </c>
      <c r="D326" s="4">
        <v>2</v>
      </c>
      <c r="E326" s="4" t="s">
        <v>173</v>
      </c>
      <c r="F326" s="35">
        <v>7.28438520431519</v>
      </c>
      <c r="G326" s="4">
        <v>2928</v>
      </c>
      <c r="J326" s="4">
        <v>2</v>
      </c>
      <c r="K326" s="4" t="s">
        <v>173</v>
      </c>
      <c r="L326" s="35">
        <v>12.9022400379181</v>
      </c>
      <c r="M326" s="4">
        <v>2932</v>
      </c>
      <c r="P326" s="4">
        <v>2</v>
      </c>
      <c r="Q326" s="4" t="s">
        <v>173</v>
      </c>
      <c r="R326" s="35">
        <v>9.7289755344390905</v>
      </c>
      <c r="S326" s="4">
        <v>1473</v>
      </c>
      <c r="V326" s="4">
        <v>2</v>
      </c>
      <c r="W326" s="4" t="s">
        <v>175</v>
      </c>
      <c r="X326" s="35">
        <v>16.880225896835299</v>
      </c>
      <c r="Y326" s="4">
        <v>1420</v>
      </c>
      <c r="AB326" s="4">
        <v>2</v>
      </c>
      <c r="AC326" s="4" t="s">
        <v>175</v>
      </c>
      <c r="AD326" s="35">
        <v>8.1969270706176793</v>
      </c>
      <c r="AE326" s="4">
        <v>1703</v>
      </c>
      <c r="AH326" s="4">
        <v>2</v>
      </c>
    </row>
    <row r="327" spans="1:37" x14ac:dyDescent="0.2">
      <c r="A327" s="34">
        <v>45</v>
      </c>
      <c r="B327" s="11" t="s">
        <v>76</v>
      </c>
      <c r="D327" s="4">
        <v>2</v>
      </c>
      <c r="E327" s="4" t="s">
        <v>173</v>
      </c>
      <c r="F327" s="35">
        <v>5.1196711063385001</v>
      </c>
      <c r="G327" s="4">
        <v>2622</v>
      </c>
      <c r="J327" s="4">
        <v>2</v>
      </c>
      <c r="K327" s="4" t="s">
        <v>173</v>
      </c>
      <c r="L327" s="35">
        <v>14.0283646583557</v>
      </c>
      <c r="M327" s="4">
        <v>2991</v>
      </c>
      <c r="P327" s="4">
        <v>2</v>
      </c>
      <c r="Q327" s="4" t="s">
        <v>173</v>
      </c>
      <c r="R327" s="35">
        <v>9.1148929595947301</v>
      </c>
      <c r="S327" s="4">
        <v>1568</v>
      </c>
      <c r="V327" s="4">
        <v>2</v>
      </c>
      <c r="W327" s="4" t="s">
        <v>173</v>
      </c>
      <c r="X327" s="35">
        <v>22.031568765640301</v>
      </c>
      <c r="Y327" s="4">
        <v>1496</v>
      </c>
      <c r="AB327" s="4">
        <v>2</v>
      </c>
      <c r="AC327" s="4" t="s">
        <v>173</v>
      </c>
      <c r="AD327" s="35">
        <v>9.2148685455322301</v>
      </c>
      <c r="AE327" s="4">
        <v>1787</v>
      </c>
      <c r="AH327" s="4">
        <v>2</v>
      </c>
    </row>
    <row r="328" spans="1:37" x14ac:dyDescent="0.2">
      <c r="A328" s="34">
        <v>46</v>
      </c>
      <c r="B328" s="11" t="s">
        <v>127</v>
      </c>
      <c r="D328" s="4">
        <v>2</v>
      </c>
      <c r="E328" s="4" t="s">
        <v>175</v>
      </c>
      <c r="F328" s="35">
        <v>10.2401533126831</v>
      </c>
      <c r="G328" s="4">
        <v>3415</v>
      </c>
      <c r="J328" s="4">
        <v>2</v>
      </c>
      <c r="K328" s="4" t="s">
        <v>175</v>
      </c>
      <c r="L328" s="35">
        <v>19.764369964599599</v>
      </c>
      <c r="M328" s="4">
        <v>3565</v>
      </c>
      <c r="P328" s="4">
        <v>2</v>
      </c>
      <c r="Q328" s="4" t="s">
        <v>173</v>
      </c>
      <c r="R328" s="35">
        <v>10.3547470569611</v>
      </c>
      <c r="S328" s="4">
        <v>1566</v>
      </c>
      <c r="V328" s="4">
        <v>2</v>
      </c>
      <c r="W328" s="4" t="s">
        <v>175</v>
      </c>
      <c r="X328" s="35">
        <v>11.4317271709442</v>
      </c>
      <c r="Y328" s="4">
        <v>1472</v>
      </c>
      <c r="AB328" s="4">
        <v>2</v>
      </c>
      <c r="AC328" s="4" t="s">
        <v>175</v>
      </c>
      <c r="AD328" s="35">
        <v>8.4634580612182599</v>
      </c>
      <c r="AE328" s="4">
        <v>1735</v>
      </c>
      <c r="AH328" s="4">
        <v>2</v>
      </c>
    </row>
    <row r="329" spans="1:37" x14ac:dyDescent="0.2">
      <c r="A329" s="34">
        <v>47</v>
      </c>
      <c r="B329" s="11" t="s">
        <v>127</v>
      </c>
      <c r="D329" s="4">
        <v>2</v>
      </c>
      <c r="E329" s="4" t="s">
        <v>173</v>
      </c>
      <c r="F329" s="35">
        <v>5.0176970958709699</v>
      </c>
      <c r="G329" s="4">
        <v>2592</v>
      </c>
      <c r="J329" s="4">
        <v>2</v>
      </c>
      <c r="K329" s="4" t="s">
        <v>173</v>
      </c>
      <c r="L329" s="35">
        <v>15.7696189880371</v>
      </c>
      <c r="M329" s="4">
        <v>3225</v>
      </c>
      <c r="P329" s="4">
        <v>2</v>
      </c>
      <c r="Q329" s="4" t="s">
        <v>175</v>
      </c>
      <c r="R329" s="35">
        <v>9.7130327224731392</v>
      </c>
      <c r="S329" s="4">
        <v>1552</v>
      </c>
      <c r="V329" s="4">
        <v>2</v>
      </c>
      <c r="W329" s="4" t="s">
        <v>173</v>
      </c>
      <c r="X329" s="35">
        <v>11.481109857559201</v>
      </c>
      <c r="Y329" s="4">
        <v>1510</v>
      </c>
      <c r="AB329" s="4">
        <v>2</v>
      </c>
      <c r="AC329" s="4" t="s">
        <v>173</v>
      </c>
      <c r="AD329" s="35">
        <v>8.9461336135864293</v>
      </c>
      <c r="AE329" s="4">
        <v>1752</v>
      </c>
      <c r="AH329" s="4">
        <v>2</v>
      </c>
    </row>
    <row r="330" spans="1:37" x14ac:dyDescent="0.2">
      <c r="A330" s="34">
        <v>48</v>
      </c>
      <c r="B330" s="11" t="s">
        <v>128</v>
      </c>
      <c r="D330" s="4">
        <v>2</v>
      </c>
      <c r="E330" s="4" t="s">
        <v>173</v>
      </c>
      <c r="F330" s="35">
        <v>6.6557106971740696</v>
      </c>
      <c r="G330" s="4">
        <v>2821</v>
      </c>
      <c r="J330" s="4">
        <v>2</v>
      </c>
      <c r="K330" s="4" t="s">
        <v>173</v>
      </c>
      <c r="L330" s="35">
        <v>28.876067876815799</v>
      </c>
      <c r="M330" s="4">
        <v>4257</v>
      </c>
      <c r="P330" s="4">
        <v>2</v>
      </c>
      <c r="Q330" s="4" t="s">
        <v>173</v>
      </c>
      <c r="R330" s="35">
        <v>8.7278954982757604</v>
      </c>
      <c r="S330" s="4">
        <v>1625</v>
      </c>
      <c r="V330" s="4">
        <v>2</v>
      </c>
      <c r="W330" s="4" t="s">
        <v>175</v>
      </c>
      <c r="X330" s="35">
        <v>12.21018409729</v>
      </c>
      <c r="Y330" s="4">
        <v>1550</v>
      </c>
      <c r="AB330" s="4">
        <v>2</v>
      </c>
      <c r="AC330" s="4" t="s">
        <v>175</v>
      </c>
      <c r="AD330" s="35">
        <v>9.1123411655426008</v>
      </c>
      <c r="AE330" s="4">
        <v>1846</v>
      </c>
      <c r="AH330" s="4">
        <v>2</v>
      </c>
    </row>
    <row r="331" spans="1:37" x14ac:dyDescent="0.2">
      <c r="A331" s="34">
        <v>49</v>
      </c>
      <c r="B331" s="11" t="s">
        <v>123</v>
      </c>
      <c r="D331" s="4">
        <v>2</v>
      </c>
      <c r="E331" s="4" t="s">
        <v>173</v>
      </c>
      <c r="F331" s="35">
        <v>4.6076998710632298</v>
      </c>
      <c r="G331" s="4">
        <v>2550</v>
      </c>
      <c r="J331" s="4">
        <v>2</v>
      </c>
      <c r="K331" s="4" t="s">
        <v>173</v>
      </c>
      <c r="L331" s="35">
        <v>35.328405857086203</v>
      </c>
      <c r="M331" s="4">
        <v>4948</v>
      </c>
      <c r="P331" s="4">
        <v>2</v>
      </c>
      <c r="Q331" s="4" t="s">
        <v>175</v>
      </c>
      <c r="R331" s="35">
        <v>9.9094996452331507</v>
      </c>
      <c r="S331" s="4">
        <v>1791</v>
      </c>
      <c r="V331" s="4">
        <v>2</v>
      </c>
      <c r="W331" s="4" t="s">
        <v>173</v>
      </c>
      <c r="X331" s="35">
        <v>8.9492995738983208</v>
      </c>
      <c r="Y331" s="4">
        <v>1663</v>
      </c>
      <c r="AB331" s="4">
        <v>2</v>
      </c>
      <c r="AC331" s="4" t="s">
        <v>173</v>
      </c>
      <c r="AD331" s="35">
        <v>7.9888327121734601</v>
      </c>
      <c r="AE331" s="4">
        <v>2037</v>
      </c>
      <c r="AH331" s="4">
        <v>2</v>
      </c>
    </row>
    <row r="332" spans="1:37" x14ac:dyDescent="0.2">
      <c r="A332" s="34">
        <v>50</v>
      </c>
      <c r="B332" s="11" t="s">
        <v>127</v>
      </c>
      <c r="D332" s="4">
        <v>2</v>
      </c>
      <c r="E332" s="4" t="s">
        <v>173</v>
      </c>
      <c r="F332" s="35">
        <v>6.0697333812713596</v>
      </c>
      <c r="G332" s="4">
        <v>2804</v>
      </c>
      <c r="J332" s="4">
        <v>2</v>
      </c>
      <c r="K332" s="4" t="s">
        <v>173</v>
      </c>
      <c r="L332" s="35">
        <v>15.832079410553</v>
      </c>
      <c r="M332" s="4">
        <v>3187</v>
      </c>
      <c r="P332" s="4">
        <v>2</v>
      </c>
      <c r="Q332" s="4" t="s">
        <v>173</v>
      </c>
      <c r="R332" s="35">
        <v>9.1820950508117694</v>
      </c>
      <c r="S332" s="4">
        <v>1279</v>
      </c>
      <c r="V332" s="4">
        <v>2</v>
      </c>
      <c r="W332" s="4" t="s">
        <v>173</v>
      </c>
      <c r="X332" s="35">
        <v>9.2773299217224103</v>
      </c>
      <c r="Y332" s="4">
        <v>1285</v>
      </c>
      <c r="AB332" s="4">
        <v>2</v>
      </c>
      <c r="AC332" s="4" t="s">
        <v>175</v>
      </c>
      <c r="AD332" s="35">
        <v>7.6622509956359899</v>
      </c>
      <c r="AE332" s="4">
        <v>1481</v>
      </c>
      <c r="AH332" s="4">
        <v>2</v>
      </c>
    </row>
    <row r="333" spans="1:37" x14ac:dyDescent="0.2">
      <c r="A333" s="34">
        <v>1</v>
      </c>
      <c r="B333" s="12" t="s">
        <v>107</v>
      </c>
      <c r="D333" s="4">
        <v>3</v>
      </c>
      <c r="E333" s="4" t="s">
        <v>173</v>
      </c>
      <c r="F333" s="35">
        <v>5.3906698226928702</v>
      </c>
      <c r="G333" s="4">
        <v>2632</v>
      </c>
      <c r="J333" s="4">
        <v>3</v>
      </c>
      <c r="K333" s="4" t="s">
        <v>173</v>
      </c>
      <c r="L333" s="35">
        <v>11.2602841854095</v>
      </c>
      <c r="M333" s="4">
        <v>2772</v>
      </c>
      <c r="P333" s="4">
        <v>3</v>
      </c>
      <c r="Q333" s="4" t="s">
        <v>173</v>
      </c>
      <c r="R333" s="35">
        <v>6.0604186058044398</v>
      </c>
      <c r="S333" s="4">
        <v>1639</v>
      </c>
      <c r="V333" s="4">
        <v>3</v>
      </c>
      <c r="W333" s="4" t="s">
        <v>173</v>
      </c>
      <c r="X333" s="35">
        <v>11.7985365390778</v>
      </c>
      <c r="Y333" s="4">
        <v>1590</v>
      </c>
      <c r="AB333" s="4">
        <v>3</v>
      </c>
      <c r="AC333" s="4" t="s">
        <v>173</v>
      </c>
      <c r="AD333" s="35">
        <v>7.4163761138915998</v>
      </c>
      <c r="AE333" s="4">
        <v>1864</v>
      </c>
      <c r="AH333" s="4">
        <v>3</v>
      </c>
      <c r="AI333" s="4" t="s">
        <v>173</v>
      </c>
      <c r="AK333" s="4" t="s">
        <v>180</v>
      </c>
    </row>
    <row r="334" spans="1:37" x14ac:dyDescent="0.2">
      <c r="A334" s="34">
        <v>2</v>
      </c>
      <c r="B334" s="12" t="s">
        <v>108</v>
      </c>
      <c r="D334" s="4">
        <v>3</v>
      </c>
      <c r="E334" s="4" t="s">
        <v>173</v>
      </c>
      <c r="F334" s="35">
        <v>5.7576825618743896</v>
      </c>
      <c r="G334" s="4">
        <v>2644</v>
      </c>
      <c r="J334" s="4">
        <v>3</v>
      </c>
      <c r="K334" s="4" t="s">
        <v>173</v>
      </c>
      <c r="L334" s="35">
        <v>14.2332925796509</v>
      </c>
      <c r="M334" s="4">
        <v>2999</v>
      </c>
      <c r="P334" s="4">
        <v>3</v>
      </c>
      <c r="Q334" s="4" t="s">
        <v>173</v>
      </c>
      <c r="R334" s="35">
        <v>7.4701292514800999</v>
      </c>
      <c r="S334" s="4">
        <v>1469</v>
      </c>
      <c r="V334" s="4">
        <v>3</v>
      </c>
      <c r="W334" s="4" t="s">
        <v>173</v>
      </c>
      <c r="X334" s="35">
        <v>9.5216834545135498</v>
      </c>
      <c r="Y334" s="4">
        <v>1414</v>
      </c>
      <c r="AB334" s="4">
        <v>3</v>
      </c>
      <c r="AC334" s="4" t="s">
        <v>173</v>
      </c>
      <c r="AD334" s="35">
        <v>8.3743116855621302</v>
      </c>
      <c r="AE334" s="4">
        <v>1638</v>
      </c>
      <c r="AH334" s="4">
        <v>3</v>
      </c>
      <c r="AI334" s="4" t="s">
        <v>173</v>
      </c>
      <c r="AJ334" s="35">
        <v>17.115560054779099</v>
      </c>
      <c r="AK334" s="4" t="s">
        <v>180</v>
      </c>
    </row>
    <row r="335" spans="1:37" x14ac:dyDescent="0.2">
      <c r="A335" s="34">
        <v>3</v>
      </c>
      <c r="B335" s="12" t="s">
        <v>81</v>
      </c>
      <c r="D335" s="4">
        <v>3</v>
      </c>
      <c r="E335" s="4" t="s">
        <v>173</v>
      </c>
      <c r="F335" s="35">
        <v>5.0175588130950901</v>
      </c>
      <c r="G335" s="4">
        <v>2577</v>
      </c>
      <c r="J335" s="4">
        <v>3</v>
      </c>
      <c r="K335" s="4" t="s">
        <v>173</v>
      </c>
      <c r="L335" s="35">
        <v>16.076129198074302</v>
      </c>
      <c r="M335" s="4">
        <v>3179</v>
      </c>
      <c r="P335" s="4">
        <v>3</v>
      </c>
      <c r="Q335" s="4" t="s">
        <v>173</v>
      </c>
      <c r="R335" s="35">
        <v>6.6553876399993896</v>
      </c>
      <c r="S335" s="4">
        <v>1851</v>
      </c>
      <c r="V335" s="4">
        <v>3</v>
      </c>
      <c r="W335" s="4" t="s">
        <v>173</v>
      </c>
      <c r="X335" s="35">
        <v>9.3151385784149205</v>
      </c>
      <c r="Y335" s="4">
        <v>1705</v>
      </c>
      <c r="AB335" s="4">
        <v>3</v>
      </c>
      <c r="AC335" s="4" t="s">
        <v>175</v>
      </c>
      <c r="AD335" s="35">
        <v>8.1139872074127197</v>
      </c>
      <c r="AE335" s="4">
        <v>2082</v>
      </c>
      <c r="AH335" s="4">
        <v>3</v>
      </c>
      <c r="AI335" s="4" t="s">
        <v>173</v>
      </c>
      <c r="AJ335" s="35">
        <v>15.065737247467</v>
      </c>
      <c r="AK335" s="4" t="s">
        <v>180</v>
      </c>
    </row>
    <row r="336" spans="1:37" x14ac:dyDescent="0.2">
      <c r="A336" s="34">
        <v>4</v>
      </c>
      <c r="B336" s="12" t="s">
        <v>109</v>
      </c>
      <c r="D336" s="4">
        <v>3</v>
      </c>
      <c r="E336" s="4" t="s">
        <v>173</v>
      </c>
      <c r="F336" s="35">
        <v>3.99325728416443</v>
      </c>
      <c r="G336" s="4">
        <v>2408</v>
      </c>
      <c r="J336" s="4">
        <v>3</v>
      </c>
      <c r="K336" s="4" t="s">
        <v>173</v>
      </c>
      <c r="L336" s="35">
        <v>16.281394958496101</v>
      </c>
      <c r="M336" s="4">
        <v>3086</v>
      </c>
      <c r="P336" s="4">
        <v>3</v>
      </c>
      <c r="Q336" s="4" t="s">
        <v>173</v>
      </c>
      <c r="R336" s="35">
        <v>8.0898051261901909</v>
      </c>
      <c r="S336" s="4">
        <v>1371</v>
      </c>
      <c r="V336" s="4">
        <v>3</v>
      </c>
      <c r="W336" s="4" t="s">
        <v>173</v>
      </c>
      <c r="X336" s="35">
        <v>9.0097386837005597</v>
      </c>
      <c r="Y336" s="4">
        <v>1293</v>
      </c>
      <c r="AB336" s="4">
        <v>3</v>
      </c>
      <c r="AC336" s="4" t="s">
        <v>173</v>
      </c>
      <c r="AD336" s="35">
        <v>8.0770459175109899</v>
      </c>
      <c r="AE336" s="4">
        <v>1503</v>
      </c>
      <c r="AH336" s="4">
        <v>3</v>
      </c>
      <c r="AI336" s="4" t="s">
        <v>175</v>
      </c>
      <c r="AJ336" s="35">
        <v>14.9723825454712</v>
      </c>
      <c r="AK336" s="4" t="s">
        <v>180</v>
      </c>
    </row>
    <row r="337" spans="1:37" x14ac:dyDescent="0.2">
      <c r="A337" s="34">
        <v>5</v>
      </c>
      <c r="B337" s="12" t="s">
        <v>110</v>
      </c>
      <c r="D337" s="4">
        <v>3</v>
      </c>
      <c r="E337" s="4" t="s">
        <v>175</v>
      </c>
      <c r="F337" s="35">
        <v>15.667991638183601</v>
      </c>
      <c r="G337" s="4">
        <v>4197</v>
      </c>
      <c r="J337" s="4">
        <v>3</v>
      </c>
      <c r="K337" s="4" t="s">
        <v>173</v>
      </c>
      <c r="L337" s="35">
        <v>53.693984031677203</v>
      </c>
      <c r="M337" s="4">
        <v>6398</v>
      </c>
      <c r="P337" s="4">
        <v>3</v>
      </c>
      <c r="Q337" s="4" t="s">
        <v>173</v>
      </c>
      <c r="R337" s="35">
        <v>7.6795227527618399</v>
      </c>
      <c r="S337" s="4">
        <v>1490</v>
      </c>
      <c r="V337" s="4">
        <v>3</v>
      </c>
      <c r="W337" s="4" t="s">
        <v>175</v>
      </c>
      <c r="X337" s="35">
        <v>9.6259689331054705</v>
      </c>
      <c r="Y337" s="4">
        <v>1412</v>
      </c>
      <c r="AB337" s="4">
        <v>3</v>
      </c>
      <c r="AC337" s="4" t="s">
        <v>173</v>
      </c>
      <c r="AD337" s="35">
        <v>7.0665922164917001</v>
      </c>
      <c r="AE337" s="4">
        <v>1642</v>
      </c>
      <c r="AH337" s="4">
        <v>3</v>
      </c>
      <c r="AI337" s="4" t="s">
        <v>175</v>
      </c>
      <c r="AJ337" s="35">
        <v>13.8896145820618</v>
      </c>
      <c r="AK337" s="4" t="s">
        <v>180</v>
      </c>
    </row>
    <row r="338" spans="1:37" x14ac:dyDescent="0.2">
      <c r="A338" s="34">
        <v>6</v>
      </c>
      <c r="B338" s="12" t="s">
        <v>77</v>
      </c>
      <c r="D338" s="4">
        <v>3</v>
      </c>
      <c r="E338" s="4" t="s">
        <v>173</v>
      </c>
      <c r="F338" s="35">
        <v>5.2222325801849401</v>
      </c>
      <c r="G338" s="4">
        <v>2628</v>
      </c>
      <c r="J338" s="4">
        <v>3</v>
      </c>
      <c r="K338" s="4" t="s">
        <v>173</v>
      </c>
      <c r="L338" s="35">
        <v>13.9917876720428</v>
      </c>
      <c r="M338" s="4">
        <v>2915</v>
      </c>
      <c r="P338" s="4">
        <v>3</v>
      </c>
      <c r="Q338" s="4" t="s">
        <v>173</v>
      </c>
      <c r="R338" s="35">
        <v>7.6243908405303999</v>
      </c>
      <c r="S338" s="4">
        <v>1612</v>
      </c>
      <c r="V338" s="4">
        <v>3</v>
      </c>
      <c r="W338" s="4" t="s">
        <v>173</v>
      </c>
      <c r="X338" s="35">
        <v>9.9316868782043493</v>
      </c>
      <c r="Y338" s="4">
        <v>1570</v>
      </c>
      <c r="AB338" s="4">
        <v>3</v>
      </c>
      <c r="AC338" s="4" t="s">
        <v>173</v>
      </c>
      <c r="AD338" s="35">
        <v>8.2921085357665998</v>
      </c>
      <c r="AE338" s="4">
        <v>1812</v>
      </c>
      <c r="AH338" s="4">
        <v>3</v>
      </c>
      <c r="AI338" s="4" t="s">
        <v>173</v>
      </c>
      <c r="AJ338" s="35">
        <v>15.078615427017199</v>
      </c>
      <c r="AK338" s="4" t="s">
        <v>180</v>
      </c>
    </row>
    <row r="339" spans="1:37" x14ac:dyDescent="0.2">
      <c r="A339" s="34">
        <v>7</v>
      </c>
      <c r="B339" s="12" t="s">
        <v>111</v>
      </c>
      <c r="D339" s="4">
        <v>3</v>
      </c>
      <c r="E339" s="4" t="s">
        <v>175</v>
      </c>
      <c r="F339" s="35">
        <v>9.0107910633087194</v>
      </c>
      <c r="G339" s="4">
        <v>3184</v>
      </c>
      <c r="J339" s="4">
        <v>3</v>
      </c>
      <c r="K339" s="4" t="s">
        <v>173</v>
      </c>
      <c r="L339" s="35">
        <v>20.685748338699302</v>
      </c>
      <c r="M339" s="4">
        <v>3517</v>
      </c>
      <c r="P339" s="4">
        <v>3</v>
      </c>
      <c r="Q339" s="4" t="s">
        <v>173</v>
      </c>
      <c r="R339" s="35">
        <v>8.3186445236206108</v>
      </c>
      <c r="S339" s="4">
        <v>1542</v>
      </c>
      <c r="V339" s="4">
        <v>3</v>
      </c>
      <c r="W339" s="4" t="s">
        <v>173</v>
      </c>
      <c r="X339" s="35">
        <v>8.4995188713073695</v>
      </c>
      <c r="Y339" s="4">
        <v>1434</v>
      </c>
      <c r="AB339" s="4">
        <v>3</v>
      </c>
      <c r="AC339" s="4" t="s">
        <v>173</v>
      </c>
      <c r="AD339" s="35">
        <v>7.6797971725463903</v>
      </c>
      <c r="AE339" s="4">
        <v>1683</v>
      </c>
      <c r="AH339" s="4">
        <v>3</v>
      </c>
      <c r="AI339" s="4" t="s">
        <v>175</v>
      </c>
      <c r="AJ339" s="35">
        <v>14.639700174331701</v>
      </c>
      <c r="AK339" s="4" t="s">
        <v>180</v>
      </c>
    </row>
    <row r="340" spans="1:37" x14ac:dyDescent="0.2">
      <c r="A340" s="34">
        <v>8</v>
      </c>
      <c r="B340" s="12" t="s">
        <v>112</v>
      </c>
      <c r="D340" s="4">
        <v>3</v>
      </c>
      <c r="E340" s="4" t="s">
        <v>173</v>
      </c>
      <c r="F340" s="35">
        <v>5.6245996952056903</v>
      </c>
      <c r="G340" s="4">
        <v>2570</v>
      </c>
      <c r="J340" s="4">
        <v>3</v>
      </c>
      <c r="K340" s="4" t="s">
        <v>173</v>
      </c>
      <c r="L340" s="35">
        <v>20.1717045307159</v>
      </c>
      <c r="M340" s="4">
        <v>3418</v>
      </c>
      <c r="P340" s="4">
        <v>3</v>
      </c>
      <c r="Q340" s="4" t="s">
        <v>173</v>
      </c>
      <c r="R340" s="35">
        <v>6.5815784931182897</v>
      </c>
      <c r="S340" s="4">
        <v>1522</v>
      </c>
      <c r="V340" s="4">
        <v>3</v>
      </c>
      <c r="W340" s="4" t="s">
        <v>173</v>
      </c>
      <c r="X340" s="35">
        <v>11.663038730621301</v>
      </c>
      <c r="Y340" s="4">
        <v>1516</v>
      </c>
      <c r="AB340" s="4">
        <v>3</v>
      </c>
      <c r="AC340" s="4" t="s">
        <v>175</v>
      </c>
      <c r="AD340" s="35">
        <v>7.5771970748901403</v>
      </c>
      <c r="AE340" s="4">
        <v>1720</v>
      </c>
      <c r="AH340" s="4">
        <v>3</v>
      </c>
      <c r="AI340" s="4" t="s">
        <v>173</v>
      </c>
      <c r="AJ340" s="35">
        <v>14.029825687408399</v>
      </c>
      <c r="AK340" s="4" t="s">
        <v>180</v>
      </c>
    </row>
    <row r="341" spans="1:37" x14ac:dyDescent="0.2">
      <c r="A341" s="34">
        <v>9</v>
      </c>
      <c r="B341" s="12" t="s">
        <v>113</v>
      </c>
      <c r="D341" s="4">
        <v>3</v>
      </c>
      <c r="E341" s="4" t="s">
        <v>175</v>
      </c>
      <c r="F341" s="35">
        <v>5.9459507465362602</v>
      </c>
      <c r="G341" s="4">
        <v>2708</v>
      </c>
      <c r="J341" s="4">
        <v>3</v>
      </c>
      <c r="K341" s="4" t="s">
        <v>175</v>
      </c>
      <c r="L341" s="35">
        <v>24.9857883453369</v>
      </c>
      <c r="M341" s="4">
        <v>3872</v>
      </c>
      <c r="P341" s="4">
        <v>3</v>
      </c>
      <c r="Q341" s="4" t="s">
        <v>173</v>
      </c>
      <c r="R341" s="35">
        <v>7.4780414104461697</v>
      </c>
      <c r="S341" s="4">
        <v>1613</v>
      </c>
      <c r="V341" s="4">
        <v>3</v>
      </c>
      <c r="W341" s="4" t="s">
        <v>175</v>
      </c>
      <c r="X341" s="35">
        <v>11.171603202819799</v>
      </c>
      <c r="Y341" s="4">
        <v>1529</v>
      </c>
      <c r="AB341" s="4">
        <v>3</v>
      </c>
      <c r="AC341" s="4" t="s">
        <v>173</v>
      </c>
      <c r="AD341" s="35">
        <v>7.8856570720672599</v>
      </c>
      <c r="AE341" s="4">
        <v>1786</v>
      </c>
      <c r="AH341" s="4">
        <v>3</v>
      </c>
      <c r="AI341" s="4" t="s">
        <v>175</v>
      </c>
      <c r="AJ341" s="35">
        <v>13.952687501907301</v>
      </c>
      <c r="AK341" s="4" t="s">
        <v>180</v>
      </c>
    </row>
    <row r="342" spans="1:37" x14ac:dyDescent="0.2">
      <c r="A342" s="34">
        <v>10</v>
      </c>
      <c r="B342" s="12" t="s">
        <v>114</v>
      </c>
      <c r="D342" s="4">
        <v>3</v>
      </c>
      <c r="E342" s="4" t="s">
        <v>175</v>
      </c>
      <c r="F342" s="35">
        <v>6.1440370082855198</v>
      </c>
      <c r="G342" s="4">
        <v>2774</v>
      </c>
      <c r="J342" s="4">
        <v>3</v>
      </c>
      <c r="K342" s="4" t="s">
        <v>173</v>
      </c>
      <c r="L342" s="35">
        <v>76.9973561763763</v>
      </c>
      <c r="M342" s="4">
        <v>8216</v>
      </c>
      <c r="P342" s="4">
        <v>3</v>
      </c>
      <c r="Q342" s="4" t="s">
        <v>173</v>
      </c>
      <c r="R342" s="35">
        <v>10.6378827095032</v>
      </c>
      <c r="S342" s="4">
        <v>2013</v>
      </c>
      <c r="V342" s="4">
        <v>3</v>
      </c>
      <c r="W342" s="4" t="s">
        <v>175</v>
      </c>
      <c r="X342" s="35">
        <v>10.3425686359406</v>
      </c>
      <c r="Y342" s="4">
        <v>1835</v>
      </c>
      <c r="AB342" s="4">
        <v>3</v>
      </c>
      <c r="AC342" s="4" t="s">
        <v>173</v>
      </c>
      <c r="AD342" s="35">
        <v>7.5760476589202899</v>
      </c>
      <c r="AE342" s="4">
        <v>2180</v>
      </c>
      <c r="AH342" s="4">
        <v>3</v>
      </c>
      <c r="AI342" s="4" t="s">
        <v>175</v>
      </c>
      <c r="AJ342" s="35">
        <v>15.360908508300801</v>
      </c>
      <c r="AK342" s="4" t="s">
        <v>180</v>
      </c>
    </row>
    <row r="343" spans="1:37" x14ac:dyDescent="0.2">
      <c r="A343" s="34">
        <v>11</v>
      </c>
      <c r="B343" s="12" t="s">
        <v>115</v>
      </c>
      <c r="D343" s="4">
        <v>3</v>
      </c>
      <c r="E343" s="4" t="s">
        <v>173</v>
      </c>
      <c r="F343" s="35">
        <v>30.734879970550502</v>
      </c>
      <c r="G343" s="4">
        <v>5006</v>
      </c>
      <c r="J343" s="4">
        <v>3</v>
      </c>
      <c r="K343" s="4" t="s">
        <v>173</v>
      </c>
      <c r="L343" s="35">
        <v>41.990763664245598</v>
      </c>
      <c r="M343" s="4">
        <v>5369</v>
      </c>
      <c r="P343" s="4">
        <v>3</v>
      </c>
      <c r="Q343" s="4" t="s">
        <v>173</v>
      </c>
      <c r="R343" s="35">
        <v>9.4320495128631592</v>
      </c>
      <c r="S343" s="4">
        <v>1664</v>
      </c>
      <c r="V343" s="4">
        <v>3</v>
      </c>
      <c r="W343" s="4" t="s">
        <v>175</v>
      </c>
      <c r="X343" s="35">
        <v>9.11370754241943</v>
      </c>
      <c r="Y343" s="4">
        <v>1504</v>
      </c>
      <c r="AB343" s="4">
        <v>3</v>
      </c>
      <c r="AC343" s="4" t="s">
        <v>173</v>
      </c>
      <c r="AD343" s="35">
        <v>8.5691392421722394</v>
      </c>
      <c r="AE343" s="4">
        <v>1805</v>
      </c>
      <c r="AH343" s="4">
        <v>3</v>
      </c>
      <c r="AI343" s="4" t="s">
        <v>175</v>
      </c>
      <c r="AJ343" s="35">
        <v>16.500416994094898</v>
      </c>
      <c r="AK343" s="4" t="s">
        <v>180</v>
      </c>
    </row>
    <row r="344" spans="1:37" x14ac:dyDescent="0.2">
      <c r="A344" s="34">
        <v>12</v>
      </c>
      <c r="B344" s="12" t="s">
        <v>116</v>
      </c>
      <c r="D344" s="4">
        <v>3</v>
      </c>
      <c r="E344" s="4" t="s">
        <v>173</v>
      </c>
      <c r="F344" s="35">
        <v>5.3756344318389901</v>
      </c>
      <c r="G344" s="4">
        <v>2636</v>
      </c>
      <c r="J344" s="4">
        <v>3</v>
      </c>
      <c r="K344" s="4" t="s">
        <v>173</v>
      </c>
      <c r="L344" s="35">
        <v>15.553071498870899</v>
      </c>
      <c r="M344" s="4">
        <v>3170</v>
      </c>
      <c r="P344" s="4">
        <v>3</v>
      </c>
      <c r="Q344" s="4" t="s">
        <v>173</v>
      </c>
      <c r="R344" s="35">
        <v>8.3981742858886701</v>
      </c>
      <c r="S344" s="4">
        <v>1871</v>
      </c>
      <c r="V344" s="4">
        <v>3</v>
      </c>
      <c r="W344" s="4" t="s">
        <v>173</v>
      </c>
      <c r="X344" s="35">
        <v>8.98250460624695</v>
      </c>
      <c r="Y344" s="4">
        <v>1753</v>
      </c>
      <c r="AB344" s="4">
        <v>3</v>
      </c>
      <c r="AC344" s="4" t="s">
        <v>175</v>
      </c>
      <c r="AD344" s="35">
        <v>9.2488205432891899</v>
      </c>
      <c r="AE344" s="4">
        <v>2081</v>
      </c>
      <c r="AH344" s="4">
        <v>3</v>
      </c>
      <c r="AI344" s="4" t="s">
        <v>173</v>
      </c>
      <c r="AJ344" s="35">
        <v>14.9397430419922</v>
      </c>
      <c r="AK344" s="4" t="s">
        <v>180</v>
      </c>
    </row>
    <row r="345" spans="1:37" x14ac:dyDescent="0.2">
      <c r="A345" s="34">
        <v>13</v>
      </c>
      <c r="B345" s="12" t="s">
        <v>117</v>
      </c>
      <c r="D345" s="4">
        <v>3</v>
      </c>
      <c r="E345" s="4" t="s">
        <v>173</v>
      </c>
      <c r="F345" s="35">
        <v>5.8737213611602801</v>
      </c>
      <c r="G345" s="4">
        <v>2686</v>
      </c>
      <c r="J345" s="4">
        <v>3</v>
      </c>
      <c r="K345" s="4" t="s">
        <v>173</v>
      </c>
      <c r="L345" s="35">
        <v>27.2700340747833</v>
      </c>
      <c r="M345" s="4">
        <v>4068</v>
      </c>
      <c r="P345" s="4">
        <v>3</v>
      </c>
      <c r="Q345" s="4" t="s">
        <v>173</v>
      </c>
      <c r="R345" s="35">
        <v>10.305077314376801</v>
      </c>
      <c r="S345" s="4">
        <v>1504</v>
      </c>
      <c r="V345" s="4">
        <v>3</v>
      </c>
      <c r="W345" s="4" t="s">
        <v>175</v>
      </c>
      <c r="X345" s="35">
        <v>9.0389785766601598</v>
      </c>
      <c r="Y345" s="4">
        <v>1426</v>
      </c>
      <c r="AB345" s="4">
        <v>3</v>
      </c>
      <c r="AC345" s="4" t="s">
        <v>173</v>
      </c>
      <c r="AD345" s="35">
        <v>9.8306734561920202</v>
      </c>
      <c r="AE345" s="4">
        <v>1573</v>
      </c>
      <c r="AH345" s="4">
        <v>3</v>
      </c>
      <c r="AI345" s="4" t="s">
        <v>175</v>
      </c>
      <c r="AJ345" s="35">
        <v>13.921409845352199</v>
      </c>
      <c r="AK345" s="4" t="s">
        <v>180</v>
      </c>
    </row>
    <row r="346" spans="1:37" x14ac:dyDescent="0.2">
      <c r="A346" s="34">
        <v>14</v>
      </c>
      <c r="B346" s="12" t="s">
        <v>118</v>
      </c>
      <c r="D346" s="4">
        <v>3</v>
      </c>
      <c r="E346" s="4" t="s">
        <v>175</v>
      </c>
      <c r="F346" s="35">
        <v>5.8371682167053196</v>
      </c>
      <c r="G346" s="4">
        <v>2667</v>
      </c>
      <c r="J346" s="4">
        <v>3</v>
      </c>
      <c r="K346" s="4" t="s">
        <v>175</v>
      </c>
      <c r="L346" s="35">
        <v>45.036658048629803</v>
      </c>
      <c r="M346" s="4">
        <v>5612</v>
      </c>
      <c r="P346" s="4">
        <v>3</v>
      </c>
      <c r="Q346" s="4" t="s">
        <v>173</v>
      </c>
      <c r="R346" s="35">
        <v>12.528681278228801</v>
      </c>
      <c r="S346" s="4">
        <v>1702</v>
      </c>
      <c r="V346" s="4">
        <v>3</v>
      </c>
      <c r="W346" s="4" t="s">
        <v>173</v>
      </c>
      <c r="X346" s="35">
        <v>16.2686381340027</v>
      </c>
      <c r="Y346" s="4">
        <v>1607</v>
      </c>
      <c r="AB346" s="4">
        <v>3</v>
      </c>
      <c r="AC346" s="4" t="s">
        <v>173</v>
      </c>
      <c r="AD346" s="35">
        <v>7.1601715087890598</v>
      </c>
      <c r="AE346" s="4">
        <v>1831</v>
      </c>
      <c r="AH346" s="4">
        <v>3</v>
      </c>
      <c r="AI346" s="4" t="s">
        <v>175</v>
      </c>
      <c r="AJ346" s="35">
        <v>15.2491431236267</v>
      </c>
      <c r="AK346" s="4" t="s">
        <v>180</v>
      </c>
    </row>
    <row r="347" spans="1:37" x14ac:dyDescent="0.2">
      <c r="A347" s="34">
        <v>15</v>
      </c>
      <c r="B347" s="12" t="s">
        <v>119</v>
      </c>
      <c r="D347" s="4">
        <v>3</v>
      </c>
      <c r="E347" s="4" t="s">
        <v>173</v>
      </c>
      <c r="F347" s="35">
        <v>6.1479239463806197</v>
      </c>
      <c r="G347" s="4">
        <v>2660</v>
      </c>
      <c r="J347" s="4">
        <v>3</v>
      </c>
      <c r="K347" s="4" t="s">
        <v>173</v>
      </c>
      <c r="L347" s="35">
        <v>16.690477848053</v>
      </c>
      <c r="M347" s="4">
        <v>3222</v>
      </c>
      <c r="P347" s="4">
        <v>3</v>
      </c>
      <c r="Q347" s="4" t="s">
        <v>175</v>
      </c>
      <c r="R347" s="35">
        <v>9.0875623226165807</v>
      </c>
      <c r="S347" s="4">
        <v>1187</v>
      </c>
      <c r="V347" s="4">
        <v>3</v>
      </c>
      <c r="W347" s="4" t="s">
        <v>173</v>
      </c>
      <c r="X347" s="35">
        <v>8.4094052314758301</v>
      </c>
      <c r="Y347" s="4">
        <v>1189</v>
      </c>
      <c r="AB347" s="4">
        <v>3</v>
      </c>
      <c r="AC347" s="4" t="s">
        <v>173</v>
      </c>
      <c r="AD347" s="35">
        <v>7.0710282325744602</v>
      </c>
      <c r="AE347" s="4">
        <v>1295</v>
      </c>
      <c r="AH347" s="4">
        <v>3</v>
      </c>
      <c r="AI347" s="4" t="s">
        <v>173</v>
      </c>
      <c r="AJ347" s="35">
        <v>11.8976707458496</v>
      </c>
      <c r="AK347" s="4" t="s">
        <v>180</v>
      </c>
    </row>
    <row r="348" spans="1:37" x14ac:dyDescent="0.2">
      <c r="A348" s="34">
        <v>16</v>
      </c>
      <c r="B348" s="12" t="s">
        <v>120</v>
      </c>
      <c r="D348" s="4">
        <v>3</v>
      </c>
      <c r="E348" s="4" t="s">
        <v>173</v>
      </c>
      <c r="F348" s="35">
        <v>5.9352188110351598</v>
      </c>
      <c r="G348" s="4">
        <v>2661</v>
      </c>
      <c r="J348" s="4">
        <v>3</v>
      </c>
      <c r="K348" s="4" t="s">
        <v>173</v>
      </c>
      <c r="L348" s="35">
        <v>65.8442831039429</v>
      </c>
      <c r="M348" s="4">
        <v>7259</v>
      </c>
      <c r="P348" s="4">
        <v>3</v>
      </c>
      <c r="Q348" s="4" t="s">
        <v>175</v>
      </c>
      <c r="R348" s="35">
        <v>9.75374436378479</v>
      </c>
      <c r="S348" s="4">
        <v>1226</v>
      </c>
      <c r="V348" s="4">
        <v>3</v>
      </c>
      <c r="W348" s="4" t="s">
        <v>173</v>
      </c>
      <c r="X348" s="35">
        <v>7.4754488468170202</v>
      </c>
      <c r="Y348" s="4">
        <v>1157</v>
      </c>
      <c r="AB348" s="4">
        <v>3</v>
      </c>
      <c r="AC348" s="4" t="s">
        <v>175</v>
      </c>
      <c r="AD348" s="35">
        <v>8.6014690399169904</v>
      </c>
      <c r="AE348" s="4">
        <v>1369</v>
      </c>
      <c r="AH348" s="4">
        <v>3</v>
      </c>
      <c r="AI348" s="4" t="s">
        <v>173</v>
      </c>
      <c r="AJ348" s="35">
        <v>11.8766801357269</v>
      </c>
      <c r="AK348" s="4" t="s">
        <v>180</v>
      </c>
    </row>
    <row r="349" spans="1:37" x14ac:dyDescent="0.2">
      <c r="A349" s="34">
        <v>17</v>
      </c>
      <c r="B349" s="12" t="s">
        <v>121</v>
      </c>
      <c r="D349" s="4">
        <v>3</v>
      </c>
      <c r="E349" s="4" t="s">
        <v>173</v>
      </c>
      <c r="F349" s="35">
        <v>5.7344591617584202</v>
      </c>
      <c r="G349" s="4">
        <v>2747</v>
      </c>
      <c r="J349" s="4">
        <v>3</v>
      </c>
      <c r="K349" s="4" t="s">
        <v>173</v>
      </c>
      <c r="L349" s="35">
        <v>18.7377817630768</v>
      </c>
      <c r="M349" s="4">
        <v>3430</v>
      </c>
      <c r="P349" s="4">
        <v>3</v>
      </c>
      <c r="Q349" s="4" t="s">
        <v>173</v>
      </c>
      <c r="R349" s="35">
        <v>9.3187317848205602</v>
      </c>
      <c r="S349" s="4">
        <v>1309</v>
      </c>
      <c r="V349" s="4">
        <v>3</v>
      </c>
      <c r="W349" s="4" t="s">
        <v>173</v>
      </c>
      <c r="X349" s="35">
        <v>10.853644609451299</v>
      </c>
      <c r="Y349" s="4">
        <v>1257</v>
      </c>
      <c r="AB349" s="4">
        <v>3</v>
      </c>
      <c r="AC349" s="4" t="s">
        <v>173</v>
      </c>
      <c r="AD349" s="35">
        <v>8.7043523788452202</v>
      </c>
      <c r="AE349" s="4">
        <v>1489</v>
      </c>
      <c r="AH349" s="4">
        <v>3</v>
      </c>
      <c r="AI349" s="4" t="s">
        <v>175</v>
      </c>
      <c r="AJ349" s="35">
        <v>13.438990831375101</v>
      </c>
      <c r="AK349" s="4" t="s">
        <v>180</v>
      </c>
    </row>
    <row r="350" spans="1:37" x14ac:dyDescent="0.2">
      <c r="A350" s="34">
        <v>18</v>
      </c>
      <c r="B350" s="12" t="s">
        <v>122</v>
      </c>
      <c r="D350" s="4">
        <v>3</v>
      </c>
      <c r="E350" s="4" t="s">
        <v>175</v>
      </c>
      <c r="F350" s="35">
        <v>8.1913173198700004</v>
      </c>
      <c r="G350" s="4">
        <v>3117</v>
      </c>
      <c r="J350" s="4">
        <v>3</v>
      </c>
      <c r="K350" s="4" t="s">
        <v>175</v>
      </c>
      <c r="L350" s="35">
        <v>92.125264644622803</v>
      </c>
      <c r="M350" s="4">
        <v>9751</v>
      </c>
      <c r="P350" s="4">
        <v>3</v>
      </c>
      <c r="Q350" s="4" t="s">
        <v>173</v>
      </c>
      <c r="R350" s="35">
        <v>8.19155049324036</v>
      </c>
      <c r="S350" s="4">
        <v>1280</v>
      </c>
      <c r="V350" s="4">
        <v>3</v>
      </c>
      <c r="W350" s="4" t="s">
        <v>175</v>
      </c>
      <c r="X350" s="35">
        <v>14.580027341842699</v>
      </c>
      <c r="Y350" s="4">
        <v>1255</v>
      </c>
      <c r="AB350" s="4">
        <v>3</v>
      </c>
      <c r="AC350" s="4" t="s">
        <v>173</v>
      </c>
      <c r="AD350" s="35">
        <v>7.9869110584258998</v>
      </c>
      <c r="AE350" s="4">
        <v>1403</v>
      </c>
      <c r="AH350" s="4">
        <v>3</v>
      </c>
      <c r="AI350" s="4" t="s">
        <v>175</v>
      </c>
      <c r="AJ350" s="35">
        <v>12.154457092285201</v>
      </c>
      <c r="AK350" s="4" t="s">
        <v>180</v>
      </c>
    </row>
    <row r="351" spans="1:37" x14ac:dyDescent="0.2">
      <c r="A351" s="34">
        <v>19</v>
      </c>
      <c r="B351" s="11" t="s">
        <v>247</v>
      </c>
      <c r="D351" s="4">
        <v>3</v>
      </c>
      <c r="E351" s="4" t="s">
        <v>173</v>
      </c>
      <c r="F351" s="35">
        <v>5.1133334636688197</v>
      </c>
      <c r="G351" s="4">
        <v>2558</v>
      </c>
      <c r="J351" s="4">
        <v>3</v>
      </c>
      <c r="K351" s="4" t="s">
        <v>173</v>
      </c>
      <c r="L351" s="35">
        <v>15.983475208282499</v>
      </c>
      <c r="M351" s="4">
        <v>3282</v>
      </c>
      <c r="P351" s="4">
        <v>3</v>
      </c>
      <c r="Q351" s="4" t="s">
        <v>173</v>
      </c>
      <c r="R351" s="35">
        <v>11.6106517314911</v>
      </c>
      <c r="S351" s="4">
        <v>1520</v>
      </c>
      <c r="V351" s="4">
        <v>3</v>
      </c>
      <c r="W351" s="4" t="s">
        <v>175</v>
      </c>
      <c r="X351" s="35">
        <v>9.88413763046265</v>
      </c>
      <c r="Y351" s="4">
        <v>1442</v>
      </c>
      <c r="AB351" s="4">
        <v>3</v>
      </c>
      <c r="AC351" s="4" t="s">
        <v>173</v>
      </c>
      <c r="AD351" s="35">
        <v>8.3806443214416504</v>
      </c>
      <c r="AE351" s="4">
        <v>1767</v>
      </c>
      <c r="AH351" s="4">
        <v>3</v>
      </c>
    </row>
    <row r="352" spans="1:37" x14ac:dyDescent="0.2">
      <c r="A352" s="34">
        <v>20</v>
      </c>
      <c r="B352" s="11" t="s">
        <v>81</v>
      </c>
      <c r="D352" s="4">
        <v>3</v>
      </c>
      <c r="E352" s="4" t="s">
        <v>175</v>
      </c>
      <c r="F352" s="35">
        <v>8.2046029567718506</v>
      </c>
      <c r="G352" s="4">
        <v>3016</v>
      </c>
      <c r="J352" s="4">
        <v>3</v>
      </c>
      <c r="K352" s="4" t="s">
        <v>175</v>
      </c>
      <c r="L352" s="35">
        <v>31.849773645401001</v>
      </c>
      <c r="M352" s="4">
        <v>4627</v>
      </c>
      <c r="P352" s="4">
        <v>3</v>
      </c>
      <c r="Q352" s="4" t="s">
        <v>173</v>
      </c>
      <c r="R352" s="35">
        <v>9.0042893886566198</v>
      </c>
      <c r="S352" s="4">
        <v>1603</v>
      </c>
      <c r="V352" s="4">
        <v>3</v>
      </c>
      <c r="W352" s="4" t="s">
        <v>175</v>
      </c>
      <c r="X352" s="35">
        <v>10.392454147338899</v>
      </c>
      <c r="Y352" s="4">
        <v>1533</v>
      </c>
      <c r="AB352" s="4">
        <v>3</v>
      </c>
      <c r="AC352" s="4" t="s">
        <v>175</v>
      </c>
      <c r="AD352" s="35">
        <v>8.90189433097839</v>
      </c>
      <c r="AE352" s="4">
        <v>1819</v>
      </c>
      <c r="AH352" s="4">
        <v>3</v>
      </c>
    </row>
    <row r="353" spans="1:34" x14ac:dyDescent="0.2">
      <c r="A353" s="34">
        <v>21</v>
      </c>
      <c r="B353" s="11" t="s">
        <v>76</v>
      </c>
      <c r="D353" s="4">
        <v>3</v>
      </c>
      <c r="E353" s="4" t="s">
        <v>173</v>
      </c>
      <c r="F353" s="35">
        <v>4.9029402732849103</v>
      </c>
      <c r="G353" s="4">
        <v>2586</v>
      </c>
      <c r="J353" s="4">
        <v>3</v>
      </c>
      <c r="K353" s="4" t="s">
        <v>173</v>
      </c>
      <c r="L353" s="35">
        <v>16.636960744857799</v>
      </c>
      <c r="M353" s="4">
        <v>3346</v>
      </c>
      <c r="P353" s="4">
        <v>3</v>
      </c>
      <c r="Q353" s="4" t="s">
        <v>173</v>
      </c>
      <c r="R353" s="35">
        <v>9.0116446018218994</v>
      </c>
      <c r="S353" s="4">
        <v>1371</v>
      </c>
      <c r="V353" s="4">
        <v>3</v>
      </c>
      <c r="W353" s="4" t="s">
        <v>173</v>
      </c>
      <c r="X353" s="35">
        <v>9.6275751590728795</v>
      </c>
      <c r="Y353" s="4">
        <v>1332</v>
      </c>
      <c r="AB353" s="4">
        <v>3</v>
      </c>
      <c r="AC353" s="4" t="s">
        <v>173</v>
      </c>
      <c r="AD353" s="35">
        <v>8.6051652431488002</v>
      </c>
      <c r="AE353" s="4">
        <v>1596</v>
      </c>
      <c r="AH353" s="4">
        <v>3</v>
      </c>
    </row>
    <row r="354" spans="1:34" x14ac:dyDescent="0.2">
      <c r="A354" s="34">
        <v>22</v>
      </c>
      <c r="B354" s="11" t="s">
        <v>78</v>
      </c>
      <c r="D354" s="4">
        <v>3</v>
      </c>
      <c r="E354" s="4" t="s">
        <v>173</v>
      </c>
      <c r="F354" s="35">
        <v>6.5527794361114502</v>
      </c>
      <c r="G354" s="4">
        <v>2849</v>
      </c>
      <c r="J354" s="4">
        <v>3</v>
      </c>
      <c r="K354" s="4" t="s">
        <v>173</v>
      </c>
      <c r="L354" s="35">
        <v>18.3830583095551</v>
      </c>
      <c r="M354" s="4">
        <v>3378</v>
      </c>
      <c r="P354" s="4">
        <v>3</v>
      </c>
      <c r="Q354" s="4" t="s">
        <v>173</v>
      </c>
      <c r="R354" s="35">
        <v>11.3668043613434</v>
      </c>
      <c r="S354" s="4">
        <v>1462</v>
      </c>
      <c r="V354" s="4">
        <v>3</v>
      </c>
      <c r="W354" s="4" t="s">
        <v>175</v>
      </c>
      <c r="X354" s="35">
        <v>9.9909484386444092</v>
      </c>
      <c r="Y354" s="4">
        <v>1418</v>
      </c>
      <c r="AB354" s="4">
        <v>3</v>
      </c>
      <c r="AC354" s="4" t="s">
        <v>175</v>
      </c>
      <c r="AD354" s="35">
        <v>8.3993737697601301</v>
      </c>
      <c r="AE354" s="4">
        <v>1670</v>
      </c>
      <c r="AH354" s="4">
        <v>3</v>
      </c>
    </row>
    <row r="355" spans="1:34" x14ac:dyDescent="0.2">
      <c r="A355" s="34">
        <v>23</v>
      </c>
      <c r="B355" s="11" t="s">
        <v>78</v>
      </c>
      <c r="D355" s="4">
        <v>3</v>
      </c>
      <c r="E355" s="4" t="s">
        <v>175</v>
      </c>
      <c r="F355" s="35">
        <v>5.0168902873992902</v>
      </c>
      <c r="G355" s="4">
        <v>2593</v>
      </c>
      <c r="J355" s="4">
        <v>3</v>
      </c>
      <c r="K355" s="4" t="s">
        <v>175</v>
      </c>
      <c r="L355" s="35">
        <v>54.5484232902527</v>
      </c>
      <c r="M355" s="4">
        <v>6695</v>
      </c>
      <c r="P355" s="4">
        <v>3</v>
      </c>
      <c r="Q355" s="4" t="s">
        <v>173</v>
      </c>
      <c r="R355" s="35">
        <v>8.9017500877380407</v>
      </c>
      <c r="S355" s="4">
        <v>1530</v>
      </c>
      <c r="V355" s="4">
        <v>3</v>
      </c>
      <c r="W355" s="4" t="s">
        <v>175</v>
      </c>
      <c r="X355" s="35">
        <v>11.5897183418274</v>
      </c>
      <c r="Y355" s="4">
        <v>1479</v>
      </c>
      <c r="AB355" s="4">
        <v>3</v>
      </c>
      <c r="AC355" s="4" t="s">
        <v>175</v>
      </c>
      <c r="AD355" s="35">
        <v>8.7996940612793004</v>
      </c>
      <c r="AE355" s="4">
        <v>1738</v>
      </c>
      <c r="AH355" s="4">
        <v>3</v>
      </c>
    </row>
    <row r="356" spans="1:34" x14ac:dyDescent="0.2">
      <c r="A356" s="34">
        <v>24</v>
      </c>
      <c r="B356" s="11" t="s">
        <v>76</v>
      </c>
      <c r="D356" s="4">
        <v>3</v>
      </c>
      <c r="E356" s="4" t="s">
        <v>173</v>
      </c>
      <c r="F356" s="35">
        <v>8.6016051769256592</v>
      </c>
      <c r="G356" s="4">
        <v>3119</v>
      </c>
      <c r="J356" s="4">
        <v>3</v>
      </c>
      <c r="K356" s="4" t="s">
        <v>175</v>
      </c>
      <c r="L356" s="35">
        <v>36.032361984252901</v>
      </c>
      <c r="M356" s="4">
        <v>4992</v>
      </c>
      <c r="P356" s="4">
        <v>3</v>
      </c>
      <c r="Q356" s="4" t="s">
        <v>173</v>
      </c>
      <c r="R356" s="35">
        <v>9.6310722827911395</v>
      </c>
      <c r="S356" s="4">
        <v>1709</v>
      </c>
      <c r="V356" s="4">
        <v>3</v>
      </c>
      <c r="W356" s="4" t="s">
        <v>175</v>
      </c>
      <c r="X356" s="35">
        <v>10.907213449478199</v>
      </c>
      <c r="Y356" s="4">
        <v>1619</v>
      </c>
      <c r="AB356" s="4">
        <v>3</v>
      </c>
      <c r="AC356" s="4" t="s">
        <v>175</v>
      </c>
      <c r="AD356" s="35">
        <v>8.0894818305969203</v>
      </c>
      <c r="AE356" s="4">
        <v>1928</v>
      </c>
      <c r="AH356" s="4">
        <v>3</v>
      </c>
    </row>
    <row r="357" spans="1:34" x14ac:dyDescent="0.2">
      <c r="A357" s="34">
        <v>25</v>
      </c>
      <c r="B357" s="11" t="s">
        <v>78</v>
      </c>
      <c r="D357" s="4">
        <v>3</v>
      </c>
      <c r="E357" s="4" t="s">
        <v>173</v>
      </c>
      <c r="F357" s="35">
        <v>6.0420689582824698</v>
      </c>
      <c r="G357" s="4">
        <v>2750</v>
      </c>
      <c r="J357" s="4">
        <v>3</v>
      </c>
      <c r="K357" s="4" t="s">
        <v>173</v>
      </c>
      <c r="L357" s="35">
        <v>16.120443582534801</v>
      </c>
      <c r="M357" s="4">
        <v>3393</v>
      </c>
      <c r="P357" s="4">
        <v>3</v>
      </c>
      <c r="Q357" s="4" t="s">
        <v>175</v>
      </c>
      <c r="R357" s="35">
        <v>9.0489816665649396</v>
      </c>
      <c r="S357" s="4">
        <v>1510</v>
      </c>
      <c r="V357" s="4">
        <v>3</v>
      </c>
      <c r="W357" s="4" t="s">
        <v>175</v>
      </c>
      <c r="X357" s="35">
        <v>17.1119351387024</v>
      </c>
      <c r="Y357" s="4">
        <v>1407</v>
      </c>
      <c r="AB357" s="4">
        <v>3</v>
      </c>
      <c r="AC357" s="4" t="s">
        <v>175</v>
      </c>
      <c r="AD357" s="35">
        <v>8.2963759899139404</v>
      </c>
      <c r="AE357" s="4">
        <v>1715</v>
      </c>
      <c r="AH357" s="4">
        <v>3</v>
      </c>
    </row>
    <row r="358" spans="1:34" x14ac:dyDescent="0.2">
      <c r="A358" s="34">
        <v>26</v>
      </c>
      <c r="B358" s="11" t="s">
        <v>78</v>
      </c>
      <c r="D358" s="4">
        <v>3</v>
      </c>
      <c r="E358" s="4" t="s">
        <v>175</v>
      </c>
      <c r="F358" s="35">
        <v>5.7205796241760298</v>
      </c>
      <c r="G358" s="4">
        <v>2712</v>
      </c>
      <c r="J358" s="4">
        <v>3</v>
      </c>
      <c r="K358" s="4" t="s">
        <v>175</v>
      </c>
      <c r="L358" s="35">
        <v>36.454575538635297</v>
      </c>
      <c r="M358" s="4">
        <v>4792</v>
      </c>
      <c r="P358" s="4">
        <v>3</v>
      </c>
      <c r="Q358" s="4" t="s">
        <v>173</v>
      </c>
      <c r="R358" s="35">
        <v>10.407111406326299</v>
      </c>
      <c r="S358" s="4">
        <v>1621</v>
      </c>
      <c r="V358" s="4">
        <v>3</v>
      </c>
      <c r="W358" s="4" t="s">
        <v>175</v>
      </c>
      <c r="X358" s="35">
        <v>13.452320814132699</v>
      </c>
      <c r="Y358" s="4">
        <v>1510</v>
      </c>
      <c r="AB358" s="4">
        <v>3</v>
      </c>
      <c r="AC358" s="4" t="s">
        <v>175</v>
      </c>
      <c r="AD358" s="35">
        <v>8.0876843929290807</v>
      </c>
      <c r="AE358" s="4">
        <v>1782</v>
      </c>
      <c r="AH358" s="4">
        <v>3</v>
      </c>
    </row>
    <row r="359" spans="1:34" x14ac:dyDescent="0.2">
      <c r="A359" s="34">
        <v>27</v>
      </c>
      <c r="B359" s="11" t="s">
        <v>78</v>
      </c>
      <c r="D359" s="4">
        <v>3</v>
      </c>
      <c r="E359" s="4" t="s">
        <v>173</v>
      </c>
      <c r="F359" s="35">
        <v>5.4399428367614702</v>
      </c>
      <c r="G359" s="4">
        <v>2619</v>
      </c>
      <c r="J359" s="4">
        <v>3</v>
      </c>
      <c r="K359" s="4" t="s">
        <v>173</v>
      </c>
      <c r="L359" s="35">
        <v>19.8651394844055</v>
      </c>
      <c r="M359" s="4">
        <v>3607</v>
      </c>
      <c r="P359" s="4">
        <v>3</v>
      </c>
      <c r="Q359" s="4" t="s">
        <v>173</v>
      </c>
      <c r="R359" s="35">
        <v>9.9324362277984601</v>
      </c>
      <c r="S359" s="4">
        <v>1514</v>
      </c>
      <c r="V359" s="4">
        <v>3</v>
      </c>
      <c r="W359" s="4" t="s">
        <v>175</v>
      </c>
      <c r="X359" s="35">
        <v>16.941004276275599</v>
      </c>
      <c r="Y359" s="4">
        <v>1433</v>
      </c>
      <c r="AB359" s="4">
        <v>3</v>
      </c>
      <c r="AC359" s="4" t="s">
        <v>175</v>
      </c>
      <c r="AD359" s="35">
        <v>8.1754536628723091</v>
      </c>
      <c r="AE359" s="4">
        <v>1726</v>
      </c>
      <c r="AH359" s="4">
        <v>3</v>
      </c>
    </row>
    <row r="360" spans="1:34" x14ac:dyDescent="0.2">
      <c r="A360" s="34">
        <v>28</v>
      </c>
      <c r="B360" s="11" t="s">
        <v>78</v>
      </c>
      <c r="D360" s="4">
        <v>3</v>
      </c>
      <c r="E360" s="4" t="s">
        <v>173</v>
      </c>
      <c r="F360" s="35">
        <v>5.42785692214966</v>
      </c>
      <c r="G360" s="4">
        <v>2630</v>
      </c>
      <c r="J360" s="4">
        <v>3</v>
      </c>
      <c r="K360" s="4" t="s">
        <v>173</v>
      </c>
      <c r="L360" s="35">
        <v>53.863260030746503</v>
      </c>
      <c r="M360" s="4">
        <v>6894</v>
      </c>
      <c r="P360" s="4">
        <v>3</v>
      </c>
      <c r="Q360" s="4" t="s">
        <v>175</v>
      </c>
      <c r="R360" s="35">
        <v>10.2401015758514</v>
      </c>
      <c r="S360" s="4">
        <v>1578</v>
      </c>
      <c r="V360" s="4">
        <v>3</v>
      </c>
      <c r="W360" s="4" t="s">
        <v>173</v>
      </c>
      <c r="X360" s="35">
        <v>15.0434939861298</v>
      </c>
      <c r="Y360" s="4">
        <v>1491</v>
      </c>
      <c r="AB360" s="4">
        <v>3</v>
      </c>
      <c r="AC360" s="4" t="s">
        <v>173</v>
      </c>
      <c r="AD360" s="35">
        <v>8.2716617584228498</v>
      </c>
      <c r="AE360" s="4">
        <v>1773</v>
      </c>
      <c r="AH360" s="4">
        <v>3</v>
      </c>
    </row>
    <row r="361" spans="1:34" x14ac:dyDescent="0.2">
      <c r="A361" s="34">
        <v>29</v>
      </c>
      <c r="B361" s="11" t="s">
        <v>123</v>
      </c>
      <c r="D361" s="4">
        <v>3</v>
      </c>
      <c r="E361" s="4" t="s">
        <v>173</v>
      </c>
      <c r="F361" s="35">
        <v>4.91477775573731</v>
      </c>
      <c r="G361" s="4">
        <v>2557</v>
      </c>
      <c r="J361" s="4">
        <v>3</v>
      </c>
      <c r="K361" s="4" t="s">
        <v>173</v>
      </c>
      <c r="L361" s="35">
        <v>15.8713274002075</v>
      </c>
      <c r="M361" s="4">
        <v>3201</v>
      </c>
      <c r="P361" s="4">
        <v>3</v>
      </c>
      <c r="Q361" s="4" t="s">
        <v>175</v>
      </c>
      <c r="R361" s="35">
        <v>9.2156693935394305</v>
      </c>
      <c r="S361" s="4">
        <v>1617</v>
      </c>
      <c r="V361" s="4">
        <v>3</v>
      </c>
      <c r="W361" s="4" t="s">
        <v>173</v>
      </c>
      <c r="X361" s="35">
        <v>11.704206228256201</v>
      </c>
      <c r="Y361" s="4">
        <v>1574</v>
      </c>
      <c r="AB361" s="4">
        <v>3</v>
      </c>
      <c r="AC361" s="4" t="s">
        <v>173</v>
      </c>
      <c r="AD361" s="35">
        <v>9.3570179939270002</v>
      </c>
      <c r="AE361" s="4">
        <v>1899</v>
      </c>
      <c r="AH361" s="4">
        <v>3</v>
      </c>
    </row>
    <row r="362" spans="1:34" x14ac:dyDescent="0.2">
      <c r="A362" s="34">
        <v>30</v>
      </c>
      <c r="B362" s="11" t="s">
        <v>123</v>
      </c>
      <c r="D362" s="4">
        <v>3</v>
      </c>
      <c r="E362" s="4" t="s">
        <v>175</v>
      </c>
      <c r="F362" s="35">
        <v>4.7099878787994403</v>
      </c>
      <c r="G362" s="4">
        <v>2517</v>
      </c>
      <c r="J362" s="4">
        <v>3</v>
      </c>
      <c r="K362" s="4" t="s">
        <v>175</v>
      </c>
      <c r="L362" s="35">
        <v>17.101804494857799</v>
      </c>
      <c r="M362" s="4">
        <v>3168</v>
      </c>
      <c r="P362" s="4">
        <v>3</v>
      </c>
      <c r="Q362" s="4" t="s">
        <v>173</v>
      </c>
      <c r="R362" s="35">
        <v>10.147355556488</v>
      </c>
      <c r="S362" s="4">
        <v>1527</v>
      </c>
      <c r="V362" s="4">
        <v>3</v>
      </c>
      <c r="W362" s="4" t="s">
        <v>175</v>
      </c>
      <c r="X362" s="35">
        <v>18.257593631744399</v>
      </c>
      <c r="Y362" s="4">
        <v>1434</v>
      </c>
      <c r="AB362" s="4">
        <v>3</v>
      </c>
      <c r="AC362" s="4" t="s">
        <v>175</v>
      </c>
      <c r="AD362" s="35">
        <v>8.3989841938018799</v>
      </c>
      <c r="AE362" s="4">
        <v>1763</v>
      </c>
      <c r="AH362" s="4">
        <v>3</v>
      </c>
    </row>
    <row r="363" spans="1:34" x14ac:dyDescent="0.2">
      <c r="A363" s="34">
        <v>31</v>
      </c>
      <c r="B363" s="11" t="s">
        <v>124</v>
      </c>
      <c r="D363" s="4">
        <v>3</v>
      </c>
      <c r="E363" s="4" t="s">
        <v>173</v>
      </c>
      <c r="F363" s="35">
        <v>26.317276000976602</v>
      </c>
      <c r="G363" s="4">
        <v>6037</v>
      </c>
      <c r="J363" s="4">
        <v>3</v>
      </c>
      <c r="K363" s="4" t="s">
        <v>175</v>
      </c>
      <c r="L363" s="35">
        <v>21.731330871581999</v>
      </c>
      <c r="M363" s="4">
        <v>3651</v>
      </c>
      <c r="P363" s="4">
        <v>3</v>
      </c>
      <c r="Q363" s="4" t="s">
        <v>173</v>
      </c>
      <c r="R363" s="35">
        <v>11.253907442092901</v>
      </c>
      <c r="S363" s="4">
        <v>1406</v>
      </c>
      <c r="V363" s="4">
        <v>3</v>
      </c>
      <c r="W363" s="4" t="s">
        <v>175</v>
      </c>
      <c r="X363" s="35">
        <v>10.724719762802099</v>
      </c>
      <c r="Y363" s="4">
        <v>1291</v>
      </c>
      <c r="AB363" s="4">
        <v>3</v>
      </c>
      <c r="AC363" s="4" t="s">
        <v>175</v>
      </c>
      <c r="AD363" s="35">
        <v>8.7020010948181206</v>
      </c>
      <c r="AE363" s="4">
        <v>1580</v>
      </c>
      <c r="AH363" s="4">
        <v>3</v>
      </c>
    </row>
    <row r="364" spans="1:34" x14ac:dyDescent="0.2">
      <c r="A364" s="34">
        <v>32</v>
      </c>
      <c r="B364" s="11" t="s">
        <v>124</v>
      </c>
      <c r="D364" s="4">
        <v>3</v>
      </c>
      <c r="E364" s="4" t="s">
        <v>173</v>
      </c>
      <c r="F364" s="35">
        <v>5.1201355457305899</v>
      </c>
      <c r="G364" s="4">
        <v>2588</v>
      </c>
      <c r="J364" s="4">
        <v>3</v>
      </c>
      <c r="K364" s="4" t="s">
        <v>173</v>
      </c>
      <c r="L364" s="35">
        <v>11.752681016922001</v>
      </c>
      <c r="M364" s="4">
        <v>2906</v>
      </c>
      <c r="P364" s="4">
        <v>3</v>
      </c>
      <c r="Q364" s="4" t="s">
        <v>173</v>
      </c>
      <c r="R364" s="35">
        <v>8.0896539688110405</v>
      </c>
      <c r="S364" s="4">
        <v>1127</v>
      </c>
      <c r="V364" s="4">
        <v>3</v>
      </c>
      <c r="W364" s="4" t="s">
        <v>173</v>
      </c>
      <c r="X364" s="35">
        <v>10.476847410202</v>
      </c>
      <c r="Y364" s="4">
        <v>1142</v>
      </c>
      <c r="AB364" s="4">
        <v>3</v>
      </c>
      <c r="AC364" s="4" t="s">
        <v>173</v>
      </c>
      <c r="AD364" s="35">
        <v>7.7816660404205296</v>
      </c>
      <c r="AE364" s="4">
        <v>1295</v>
      </c>
      <c r="AH364" s="4">
        <v>3</v>
      </c>
    </row>
    <row r="365" spans="1:34" x14ac:dyDescent="0.2">
      <c r="A365" s="34">
        <v>33</v>
      </c>
      <c r="B365" s="11" t="s">
        <v>78</v>
      </c>
      <c r="D365" s="4">
        <v>3</v>
      </c>
      <c r="E365" s="4" t="s">
        <v>173</v>
      </c>
      <c r="F365" s="35">
        <v>4.70921134948731</v>
      </c>
      <c r="G365" s="4">
        <v>2526</v>
      </c>
      <c r="J365" s="4">
        <v>3</v>
      </c>
      <c r="K365" s="4" t="s">
        <v>173</v>
      </c>
      <c r="L365" s="35">
        <v>14.744295835495</v>
      </c>
      <c r="M365" s="4">
        <v>3049</v>
      </c>
      <c r="P365" s="4">
        <v>3</v>
      </c>
      <c r="Q365" s="4" t="s">
        <v>175</v>
      </c>
      <c r="R365" s="35">
        <v>8.5014350414276105</v>
      </c>
      <c r="S365" s="4">
        <v>1526</v>
      </c>
      <c r="V365" s="4">
        <v>3</v>
      </c>
      <c r="W365" s="4" t="s">
        <v>173</v>
      </c>
      <c r="X365" s="35">
        <v>11.3321089744568</v>
      </c>
      <c r="Y365" s="4">
        <v>1516</v>
      </c>
      <c r="AB365" s="4">
        <v>3</v>
      </c>
      <c r="AC365" s="4" t="s">
        <v>173</v>
      </c>
      <c r="AD365" s="35">
        <v>8.7041852474212593</v>
      </c>
      <c r="AE365" s="4">
        <v>1776</v>
      </c>
      <c r="AH365" s="4">
        <v>3</v>
      </c>
    </row>
    <row r="366" spans="1:34" x14ac:dyDescent="0.2">
      <c r="A366" s="34">
        <v>34</v>
      </c>
      <c r="B366" s="11" t="s">
        <v>125</v>
      </c>
      <c r="D366" s="4">
        <v>3</v>
      </c>
      <c r="E366" s="4" t="s">
        <v>173</v>
      </c>
      <c r="F366" s="35">
        <v>4.8126497268676802</v>
      </c>
      <c r="G366" s="4">
        <v>2574</v>
      </c>
      <c r="J366" s="4">
        <v>3</v>
      </c>
      <c r="K366" s="4" t="s">
        <v>173</v>
      </c>
      <c r="L366" s="35">
        <v>27.648324728012099</v>
      </c>
      <c r="M366" s="4">
        <v>3425</v>
      </c>
      <c r="P366" s="4">
        <v>3</v>
      </c>
      <c r="Q366" s="4" t="s">
        <v>173</v>
      </c>
      <c r="R366" s="35">
        <v>9.2148566246032697</v>
      </c>
      <c r="S366" s="4">
        <v>1588</v>
      </c>
      <c r="V366" s="4">
        <v>3</v>
      </c>
      <c r="W366" s="4" t="s">
        <v>173</v>
      </c>
      <c r="X366" s="35">
        <v>14.272617816925001</v>
      </c>
      <c r="Y366" s="4">
        <v>1547</v>
      </c>
      <c r="AB366" s="4">
        <v>3</v>
      </c>
      <c r="AC366" s="4" t="s">
        <v>173</v>
      </c>
      <c r="AD366" s="35">
        <v>8.0012776851654106</v>
      </c>
      <c r="AE366" s="4">
        <v>1819</v>
      </c>
      <c r="AH366" s="4">
        <v>3</v>
      </c>
    </row>
    <row r="367" spans="1:34" x14ac:dyDescent="0.2">
      <c r="A367" s="34">
        <v>35</v>
      </c>
      <c r="B367" s="11" t="s">
        <v>104</v>
      </c>
      <c r="D367" s="4">
        <v>3</v>
      </c>
      <c r="E367" s="4" t="s">
        <v>173</v>
      </c>
      <c r="F367" s="35">
        <v>5.1199285984039298</v>
      </c>
      <c r="G367" s="4">
        <v>2609</v>
      </c>
      <c r="J367" s="4">
        <v>3</v>
      </c>
      <c r="K367" s="4" t="s">
        <v>173</v>
      </c>
      <c r="L367" s="35">
        <v>13.0722134113312</v>
      </c>
      <c r="M367" s="4">
        <v>2991</v>
      </c>
      <c r="P367" s="4">
        <v>3</v>
      </c>
      <c r="Q367" s="4" t="s">
        <v>173</v>
      </c>
      <c r="R367" s="35">
        <v>8.0875012874603307</v>
      </c>
      <c r="S367" s="4">
        <v>1526</v>
      </c>
      <c r="V367" s="4">
        <v>3</v>
      </c>
      <c r="W367" s="4" t="s">
        <v>173</v>
      </c>
      <c r="X367" s="35">
        <v>11.259639263153099</v>
      </c>
      <c r="Y367" s="4">
        <v>1428</v>
      </c>
      <c r="AB367" s="4">
        <v>3</v>
      </c>
      <c r="AC367" s="4" t="s">
        <v>173</v>
      </c>
      <c r="AD367" s="35">
        <v>9.2017147541046107</v>
      </c>
      <c r="AE367" s="4">
        <v>1760</v>
      </c>
      <c r="AH367" s="4">
        <v>3</v>
      </c>
    </row>
    <row r="368" spans="1:34" x14ac:dyDescent="0.2">
      <c r="A368" s="34">
        <v>36</v>
      </c>
      <c r="B368" s="11" t="s">
        <v>104</v>
      </c>
      <c r="D368" s="4">
        <v>3</v>
      </c>
      <c r="E368" s="4" t="s">
        <v>175</v>
      </c>
      <c r="F368" s="35">
        <v>13.3119683265686</v>
      </c>
      <c r="G368" s="4">
        <v>3776</v>
      </c>
      <c r="J368" s="4">
        <v>3</v>
      </c>
      <c r="K368" s="4" t="s">
        <v>175</v>
      </c>
      <c r="L368" s="35">
        <v>56.9700767993927</v>
      </c>
      <c r="M368" s="4">
        <v>7044</v>
      </c>
      <c r="P368" s="4">
        <v>3</v>
      </c>
      <c r="Q368" s="4" t="s">
        <v>173</v>
      </c>
      <c r="R368" s="35">
        <v>8.9101300239563006</v>
      </c>
      <c r="S368" s="4">
        <v>1315</v>
      </c>
      <c r="V368" s="4">
        <v>3</v>
      </c>
      <c r="W368" s="4" t="s">
        <v>175</v>
      </c>
      <c r="X368" s="35">
        <v>10.853703260421799</v>
      </c>
      <c r="Y368" s="4">
        <v>1268</v>
      </c>
      <c r="AB368" s="4">
        <v>3</v>
      </c>
      <c r="AC368" s="4" t="s">
        <v>175</v>
      </c>
      <c r="AD368" s="35">
        <v>9.5288722515106201</v>
      </c>
      <c r="AE368" s="4">
        <v>1551</v>
      </c>
      <c r="AH368" s="4">
        <v>3</v>
      </c>
    </row>
    <row r="369" spans="1:34" x14ac:dyDescent="0.2">
      <c r="A369" s="34">
        <v>37</v>
      </c>
      <c r="B369" s="11" t="s">
        <v>126</v>
      </c>
      <c r="D369" s="4">
        <v>3</v>
      </c>
      <c r="E369" s="4" t="s">
        <v>175</v>
      </c>
      <c r="F369" s="35">
        <v>32.666491508483901</v>
      </c>
      <c r="G369" s="4">
        <v>7104</v>
      </c>
      <c r="J369" s="4">
        <v>3</v>
      </c>
      <c r="K369" s="4" t="s">
        <v>173</v>
      </c>
      <c r="L369" s="35">
        <v>16.895359754562399</v>
      </c>
      <c r="M369" s="4">
        <v>3410</v>
      </c>
      <c r="P369" s="4">
        <v>3</v>
      </c>
      <c r="Q369" s="4" t="s">
        <v>173</v>
      </c>
      <c r="R369" s="35">
        <v>9.0295751094818097</v>
      </c>
      <c r="S369" s="4">
        <v>1730</v>
      </c>
      <c r="V369" s="4">
        <v>3</v>
      </c>
      <c r="W369" s="4" t="s">
        <v>175</v>
      </c>
      <c r="X369" s="35">
        <v>15.7694792747498</v>
      </c>
      <c r="Y369" s="4">
        <v>1610</v>
      </c>
      <c r="AB369" s="4">
        <v>3</v>
      </c>
      <c r="AC369" s="4" t="s">
        <v>175</v>
      </c>
      <c r="AD369" s="35">
        <v>8.8001580238342303</v>
      </c>
      <c r="AE369" s="4">
        <v>1965</v>
      </c>
      <c r="AH369" s="4">
        <v>3</v>
      </c>
    </row>
    <row r="370" spans="1:34" x14ac:dyDescent="0.2">
      <c r="A370" s="34">
        <v>38</v>
      </c>
      <c r="B370" s="11" t="s">
        <v>126</v>
      </c>
      <c r="D370" s="4">
        <v>3</v>
      </c>
      <c r="E370" s="4" t="s">
        <v>175</v>
      </c>
      <c r="F370" s="35">
        <v>6.9622099399566704</v>
      </c>
      <c r="G370" s="4">
        <v>2857</v>
      </c>
      <c r="J370" s="4">
        <v>3</v>
      </c>
      <c r="K370" s="4" t="s">
        <v>175</v>
      </c>
      <c r="L370" s="35">
        <v>21.503964900970502</v>
      </c>
      <c r="M370" s="4">
        <v>3700</v>
      </c>
      <c r="P370" s="4">
        <v>3</v>
      </c>
      <c r="Q370" s="4" t="s">
        <v>175</v>
      </c>
      <c r="R370" s="35">
        <v>9.6064012050628698</v>
      </c>
      <c r="S370" s="4">
        <v>1492</v>
      </c>
      <c r="V370" s="4">
        <v>3</v>
      </c>
      <c r="W370" s="4" t="s">
        <v>175</v>
      </c>
      <c r="X370" s="35">
        <v>13.5787072181702</v>
      </c>
      <c r="Y370" s="4">
        <v>1484</v>
      </c>
      <c r="AB370" s="4">
        <v>3</v>
      </c>
      <c r="AC370" s="4" t="s">
        <v>175</v>
      </c>
      <c r="AD370" s="35">
        <v>8.29488205909729</v>
      </c>
      <c r="AE370" s="4">
        <v>1713</v>
      </c>
      <c r="AH370" s="4">
        <v>3</v>
      </c>
    </row>
    <row r="371" spans="1:34" x14ac:dyDescent="0.2">
      <c r="A371" s="34">
        <v>39</v>
      </c>
      <c r="B371" s="11" t="s">
        <v>126</v>
      </c>
      <c r="D371" s="4">
        <v>3</v>
      </c>
      <c r="E371" s="4" t="s">
        <v>175</v>
      </c>
      <c r="F371" s="35">
        <v>5.32413578033447</v>
      </c>
      <c r="G371" s="4">
        <v>2592</v>
      </c>
      <c r="J371" s="4">
        <v>3</v>
      </c>
      <c r="K371" s="4" t="s">
        <v>173</v>
      </c>
      <c r="L371" s="35">
        <v>46.594172000885003</v>
      </c>
      <c r="M371" s="4">
        <v>5811</v>
      </c>
      <c r="P371" s="4">
        <v>3</v>
      </c>
      <c r="Q371" s="4" t="s">
        <v>175</v>
      </c>
      <c r="R371" s="35">
        <v>7.1127879619598398</v>
      </c>
      <c r="S371" s="4">
        <v>1651</v>
      </c>
      <c r="V371" s="4">
        <v>3</v>
      </c>
      <c r="W371" s="4" t="s">
        <v>173</v>
      </c>
      <c r="X371" s="35">
        <v>16.629653930664102</v>
      </c>
      <c r="Y371" s="4">
        <v>1644</v>
      </c>
      <c r="AB371" s="4">
        <v>3</v>
      </c>
      <c r="AC371" s="4" t="s">
        <v>175</v>
      </c>
      <c r="AD371" s="35">
        <v>8.3155927658081108</v>
      </c>
      <c r="AE371" s="4">
        <v>1899</v>
      </c>
      <c r="AH371" s="4">
        <v>3</v>
      </c>
    </row>
    <row r="372" spans="1:34" x14ac:dyDescent="0.2">
      <c r="A372" s="34">
        <v>40</v>
      </c>
      <c r="B372" s="11" t="s">
        <v>126</v>
      </c>
      <c r="D372" s="4">
        <v>3</v>
      </c>
      <c r="E372" s="4" t="s">
        <v>173</v>
      </c>
      <c r="F372" s="35">
        <v>6.4512655735015896</v>
      </c>
      <c r="G372" s="4">
        <v>2799</v>
      </c>
      <c r="J372" s="4">
        <v>3</v>
      </c>
      <c r="K372" s="4" t="s">
        <v>175</v>
      </c>
      <c r="L372" s="35">
        <v>34.609344959258998</v>
      </c>
      <c r="M372" s="4">
        <v>4900</v>
      </c>
      <c r="P372" s="4">
        <v>3</v>
      </c>
      <c r="Q372" s="4" t="s">
        <v>173</v>
      </c>
      <c r="R372" s="35">
        <v>8.5723369121551496</v>
      </c>
      <c r="S372" s="4">
        <v>1477</v>
      </c>
      <c r="V372" s="4">
        <v>3</v>
      </c>
      <c r="W372" s="4" t="s">
        <v>173</v>
      </c>
      <c r="X372" s="35">
        <v>14.4433257579803</v>
      </c>
      <c r="Y372" s="4">
        <v>1495</v>
      </c>
      <c r="AB372" s="4">
        <v>3</v>
      </c>
      <c r="AC372" s="4" t="s">
        <v>173</v>
      </c>
      <c r="AD372" s="35">
        <v>7.4830729961395299</v>
      </c>
      <c r="AE372" s="4">
        <v>1686</v>
      </c>
      <c r="AH372" s="4">
        <v>3</v>
      </c>
    </row>
    <row r="373" spans="1:34" x14ac:dyDescent="0.2">
      <c r="A373" s="34">
        <v>41</v>
      </c>
      <c r="B373" s="11" t="s">
        <v>104</v>
      </c>
      <c r="D373" s="4">
        <v>3</v>
      </c>
      <c r="E373" s="4" t="s">
        <v>173</v>
      </c>
      <c r="F373" s="35">
        <v>6.6559207439422599</v>
      </c>
      <c r="G373" s="4">
        <v>2813</v>
      </c>
      <c r="J373" s="4">
        <v>3</v>
      </c>
      <c r="K373" s="4" t="s">
        <v>173</v>
      </c>
      <c r="L373" s="35">
        <v>20.5081498622894</v>
      </c>
      <c r="M373" s="4">
        <v>3771</v>
      </c>
      <c r="P373" s="4">
        <v>3</v>
      </c>
      <c r="Q373" s="4" t="s">
        <v>173</v>
      </c>
      <c r="R373" s="35">
        <v>9.91420674324036</v>
      </c>
      <c r="S373" s="4">
        <v>1671</v>
      </c>
      <c r="V373" s="4">
        <v>3</v>
      </c>
      <c r="W373" s="4" t="s">
        <v>175</v>
      </c>
      <c r="X373" s="35">
        <v>14.9452335834503</v>
      </c>
      <c r="Y373" s="4">
        <v>1555</v>
      </c>
      <c r="AB373" s="4">
        <v>3</v>
      </c>
      <c r="AC373" s="4" t="s">
        <v>175</v>
      </c>
      <c r="AD373" s="35">
        <v>8.0601506233215297</v>
      </c>
      <c r="AE373" s="4">
        <v>1892</v>
      </c>
      <c r="AH373" s="4">
        <v>3</v>
      </c>
    </row>
    <row r="374" spans="1:34" x14ac:dyDescent="0.2">
      <c r="A374" s="34">
        <v>42</v>
      </c>
      <c r="B374" s="11" t="s">
        <v>83</v>
      </c>
      <c r="D374" s="4">
        <v>3</v>
      </c>
      <c r="E374" s="4" t="s">
        <v>173</v>
      </c>
      <c r="F374" s="35">
        <v>5.1952602863311803</v>
      </c>
      <c r="G374" s="4">
        <v>2625</v>
      </c>
      <c r="J374" s="4">
        <v>3</v>
      </c>
      <c r="K374" s="4" t="s">
        <v>173</v>
      </c>
      <c r="L374" s="35">
        <v>18.201309680938699</v>
      </c>
      <c r="M374" s="4">
        <v>3398</v>
      </c>
      <c r="P374" s="4">
        <v>3</v>
      </c>
      <c r="Q374" s="4" t="s">
        <v>173</v>
      </c>
      <c r="R374" s="35">
        <v>8.9088087081909197</v>
      </c>
      <c r="S374" s="4">
        <v>1708</v>
      </c>
      <c r="V374" s="4">
        <v>3</v>
      </c>
      <c r="W374" s="4" t="s">
        <v>175</v>
      </c>
      <c r="X374" s="35">
        <v>10.9888353347778</v>
      </c>
      <c r="Y374" s="4">
        <v>1590</v>
      </c>
      <c r="AB374" s="4">
        <v>3</v>
      </c>
      <c r="AC374" s="4" t="s">
        <v>175</v>
      </c>
      <c r="AD374" s="35">
        <v>8.4482560157775897</v>
      </c>
      <c r="AE374" s="4">
        <v>1971</v>
      </c>
      <c r="AH374" s="4">
        <v>3</v>
      </c>
    </row>
    <row r="375" spans="1:34" x14ac:dyDescent="0.2">
      <c r="A375" s="34">
        <v>43</v>
      </c>
      <c r="B375" s="11" t="s">
        <v>123</v>
      </c>
      <c r="D375" s="4">
        <v>3</v>
      </c>
      <c r="E375" s="4" t="s">
        <v>173</v>
      </c>
      <c r="F375" s="35">
        <v>4.8393750190734899</v>
      </c>
      <c r="G375" s="4">
        <v>2561</v>
      </c>
      <c r="J375" s="4">
        <v>3</v>
      </c>
      <c r="K375" s="4" t="s">
        <v>173</v>
      </c>
      <c r="L375" s="35">
        <v>18.633897542953498</v>
      </c>
      <c r="M375" s="4">
        <v>3536</v>
      </c>
      <c r="P375" s="4">
        <v>3</v>
      </c>
      <c r="Q375" s="4" t="s">
        <v>175</v>
      </c>
      <c r="R375" s="35">
        <v>8.3964822292327899</v>
      </c>
      <c r="S375" s="4">
        <v>1128</v>
      </c>
      <c r="V375" s="4">
        <v>3</v>
      </c>
      <c r="W375" s="4" t="s">
        <v>175</v>
      </c>
      <c r="X375" s="35">
        <v>10.3098537921906</v>
      </c>
      <c r="Y375" s="4">
        <v>1151</v>
      </c>
      <c r="AB375" s="4">
        <v>3</v>
      </c>
      <c r="AC375" s="4" t="s">
        <v>173</v>
      </c>
      <c r="AD375" s="35">
        <v>9.8802304267883301</v>
      </c>
      <c r="AE375" s="4">
        <v>1329</v>
      </c>
      <c r="AH375" s="4">
        <v>3</v>
      </c>
    </row>
    <row r="376" spans="1:34" x14ac:dyDescent="0.2">
      <c r="A376" s="34">
        <v>44</v>
      </c>
      <c r="B376" s="11" t="s">
        <v>104</v>
      </c>
      <c r="D376" s="4">
        <v>3</v>
      </c>
      <c r="E376" s="4" t="s">
        <v>173</v>
      </c>
      <c r="F376" s="35">
        <v>5.6333060264587402</v>
      </c>
      <c r="G376" s="4">
        <v>2695</v>
      </c>
      <c r="J376" s="4">
        <v>3</v>
      </c>
      <c r="K376" s="4" t="s">
        <v>173</v>
      </c>
      <c r="L376" s="35">
        <v>13.823934078216601</v>
      </c>
      <c r="M376" s="4">
        <v>3031</v>
      </c>
      <c r="P376" s="4">
        <v>3</v>
      </c>
      <c r="Q376" s="4" t="s">
        <v>173</v>
      </c>
      <c r="R376" s="35">
        <v>9.23980617523193</v>
      </c>
      <c r="S376" s="4">
        <v>1460</v>
      </c>
      <c r="V376" s="4">
        <v>3</v>
      </c>
      <c r="W376" s="4" t="s">
        <v>175</v>
      </c>
      <c r="X376" s="35">
        <v>14.0284373760223</v>
      </c>
      <c r="Y376" s="4">
        <v>1430</v>
      </c>
      <c r="AB376" s="4">
        <v>3</v>
      </c>
      <c r="AC376" s="4" t="s">
        <v>175</v>
      </c>
      <c r="AD376" s="35">
        <v>8.8061769008636492</v>
      </c>
      <c r="AE376" s="4">
        <v>1716</v>
      </c>
      <c r="AH376" s="4">
        <v>3</v>
      </c>
    </row>
    <row r="377" spans="1:34" x14ac:dyDescent="0.2">
      <c r="A377" s="34">
        <v>45</v>
      </c>
      <c r="B377" s="11" t="s">
        <v>76</v>
      </c>
      <c r="D377" s="4">
        <v>3</v>
      </c>
      <c r="E377" s="4" t="s">
        <v>173</v>
      </c>
      <c r="F377" s="35">
        <v>5.1816945075988796</v>
      </c>
      <c r="G377" s="4">
        <v>2600</v>
      </c>
      <c r="J377" s="4">
        <v>3</v>
      </c>
      <c r="K377" s="4" t="s">
        <v>173</v>
      </c>
      <c r="L377" s="35">
        <v>14.5418226718903</v>
      </c>
      <c r="M377" s="4">
        <v>3093</v>
      </c>
      <c r="P377" s="4">
        <v>3</v>
      </c>
      <c r="Q377" s="4" t="s">
        <v>173</v>
      </c>
      <c r="R377" s="35">
        <v>8.5772411823272705</v>
      </c>
      <c r="S377" s="4">
        <v>1562</v>
      </c>
      <c r="V377" s="4">
        <v>3</v>
      </c>
      <c r="W377" s="4" t="s">
        <v>173</v>
      </c>
      <c r="X377" s="35">
        <v>14.5405547618866</v>
      </c>
      <c r="Y377" s="4">
        <v>1505</v>
      </c>
      <c r="AB377" s="4">
        <v>3</v>
      </c>
      <c r="AC377" s="4" t="s">
        <v>173</v>
      </c>
      <c r="AD377" s="35">
        <v>8.9088270664215106</v>
      </c>
      <c r="AE377" s="4">
        <v>1805</v>
      </c>
      <c r="AH377" s="4">
        <v>3</v>
      </c>
    </row>
    <row r="378" spans="1:34" x14ac:dyDescent="0.2">
      <c r="A378" s="34">
        <v>46</v>
      </c>
      <c r="B378" s="11" t="s">
        <v>127</v>
      </c>
      <c r="D378" s="4">
        <v>3</v>
      </c>
      <c r="E378" s="4" t="s">
        <v>175</v>
      </c>
      <c r="F378" s="35">
        <v>7.1049494743347203</v>
      </c>
      <c r="G378" s="4">
        <v>2939</v>
      </c>
      <c r="J378" s="4">
        <v>3</v>
      </c>
      <c r="K378" s="4" t="s">
        <v>175</v>
      </c>
      <c r="L378" s="35">
        <v>25.189254999160799</v>
      </c>
      <c r="M378" s="4">
        <v>3965</v>
      </c>
      <c r="P378" s="4">
        <v>3</v>
      </c>
      <c r="Q378" s="4" t="s">
        <v>173</v>
      </c>
      <c r="R378" s="35">
        <v>10.424239397049</v>
      </c>
      <c r="S378" s="4">
        <v>1562</v>
      </c>
      <c r="V378" s="4">
        <v>3</v>
      </c>
      <c r="W378" s="4" t="s">
        <v>175</v>
      </c>
      <c r="X378" s="35">
        <v>15.8609201908112</v>
      </c>
      <c r="Y378" s="4">
        <v>1449</v>
      </c>
      <c r="AB378" s="4">
        <v>3</v>
      </c>
      <c r="AC378" s="4" t="s">
        <v>175</v>
      </c>
      <c r="AD378" s="35">
        <v>8.8060774803161603</v>
      </c>
      <c r="AE378" s="4">
        <v>1730</v>
      </c>
      <c r="AH378" s="4">
        <v>3</v>
      </c>
    </row>
    <row r="379" spans="1:34" x14ac:dyDescent="0.2">
      <c r="A379" s="34">
        <v>47</v>
      </c>
      <c r="B379" s="11" t="s">
        <v>127</v>
      </c>
      <c r="D379" s="4">
        <v>3</v>
      </c>
      <c r="E379" s="4" t="s">
        <v>173</v>
      </c>
      <c r="F379" s="35">
        <v>5.9392116069793701</v>
      </c>
      <c r="G379" s="4">
        <v>2705</v>
      </c>
      <c r="J379" s="4">
        <v>3</v>
      </c>
      <c r="K379" s="4" t="s">
        <v>173</v>
      </c>
      <c r="L379" s="35">
        <v>22.494401931762699</v>
      </c>
      <c r="M379" s="4">
        <v>3764</v>
      </c>
      <c r="P379" s="4">
        <v>3</v>
      </c>
      <c r="Q379" s="4" t="s">
        <v>175</v>
      </c>
      <c r="R379" s="35">
        <v>7.8029375076293901</v>
      </c>
      <c r="S379" s="4">
        <v>1521</v>
      </c>
      <c r="V379" s="4">
        <v>3</v>
      </c>
      <c r="W379" s="4" t="s">
        <v>173</v>
      </c>
      <c r="X379" s="35">
        <v>19.539623975753798</v>
      </c>
      <c r="Y379" s="4">
        <v>1445</v>
      </c>
      <c r="AB379" s="4">
        <v>3</v>
      </c>
      <c r="AC379" s="4" t="s">
        <v>173</v>
      </c>
      <c r="AD379" s="35">
        <v>8.4997024536132795</v>
      </c>
      <c r="AE379" s="4">
        <v>1738</v>
      </c>
      <c r="AH379" s="4">
        <v>3</v>
      </c>
    </row>
    <row r="380" spans="1:34" x14ac:dyDescent="0.2">
      <c r="A380" s="34">
        <v>48</v>
      </c>
      <c r="B380" s="11" t="s">
        <v>128</v>
      </c>
      <c r="D380" s="4">
        <v>3</v>
      </c>
      <c r="E380" s="4" t="s">
        <v>173</v>
      </c>
      <c r="F380" s="35">
        <v>5.8361041545867902</v>
      </c>
      <c r="G380" s="4">
        <v>2631</v>
      </c>
      <c r="J380" s="4">
        <v>3</v>
      </c>
      <c r="K380" s="4" t="s">
        <v>173</v>
      </c>
      <c r="L380" s="35">
        <v>17.237046957015998</v>
      </c>
      <c r="M380" s="4">
        <v>3389</v>
      </c>
      <c r="P380" s="4">
        <v>3</v>
      </c>
      <c r="Q380" s="4" t="s">
        <v>173</v>
      </c>
      <c r="R380" s="35">
        <v>8.9107313156127894</v>
      </c>
      <c r="S380" s="4">
        <v>1637</v>
      </c>
      <c r="V380" s="4">
        <v>3</v>
      </c>
      <c r="W380" s="4" t="s">
        <v>175</v>
      </c>
      <c r="X380" s="35">
        <v>14.4682352542877</v>
      </c>
      <c r="Y380" s="4">
        <v>1578</v>
      </c>
      <c r="AB380" s="4">
        <v>3</v>
      </c>
      <c r="AC380" s="4" t="s">
        <v>175</v>
      </c>
      <c r="AD380" s="35">
        <v>9.0104532241821307</v>
      </c>
      <c r="AE380" s="4">
        <v>1850</v>
      </c>
      <c r="AH380" s="4">
        <v>3</v>
      </c>
    </row>
    <row r="381" spans="1:34" x14ac:dyDescent="0.2">
      <c r="A381" s="34">
        <v>49</v>
      </c>
      <c r="B381" s="11" t="s">
        <v>123</v>
      </c>
      <c r="D381" s="4">
        <v>3</v>
      </c>
      <c r="E381" s="4" t="s">
        <v>173</v>
      </c>
      <c r="F381" s="35">
        <v>6.1439962387084996</v>
      </c>
      <c r="G381" s="4">
        <v>2756</v>
      </c>
      <c r="J381" s="4">
        <v>3</v>
      </c>
      <c r="K381" s="4" t="s">
        <v>173</v>
      </c>
      <c r="L381" s="35">
        <v>17.2027635574341</v>
      </c>
      <c r="M381" s="4">
        <v>3276</v>
      </c>
      <c r="P381" s="4">
        <v>3</v>
      </c>
      <c r="Q381" s="4" t="s">
        <v>175</v>
      </c>
      <c r="R381" s="35">
        <v>10.7996230125427</v>
      </c>
      <c r="S381" s="4">
        <v>1782</v>
      </c>
      <c r="V381" s="4">
        <v>3</v>
      </c>
      <c r="W381" s="4" t="s">
        <v>173</v>
      </c>
      <c r="X381" s="35">
        <v>14.5716776847839</v>
      </c>
      <c r="Y381" s="4">
        <v>1670</v>
      </c>
      <c r="AB381" s="4">
        <v>3</v>
      </c>
      <c r="AC381" s="4" t="s">
        <v>173</v>
      </c>
      <c r="AD381" s="35">
        <v>9.0110774040222203</v>
      </c>
      <c r="AE381" s="4">
        <v>2059</v>
      </c>
      <c r="AH381" s="4">
        <v>3</v>
      </c>
    </row>
    <row r="382" spans="1:34" x14ac:dyDescent="0.2">
      <c r="A382" s="34">
        <v>50</v>
      </c>
      <c r="B382" s="11" t="s">
        <v>127</v>
      </c>
      <c r="D382" s="4">
        <v>3</v>
      </c>
      <c r="E382" s="4" t="s">
        <v>173</v>
      </c>
      <c r="F382" s="35">
        <v>4.8128411769866899</v>
      </c>
      <c r="G382" s="4">
        <v>2617</v>
      </c>
      <c r="J382" s="4">
        <v>3</v>
      </c>
      <c r="K382" s="4" t="s">
        <v>173</v>
      </c>
      <c r="L382" s="35">
        <v>22.733408212661701</v>
      </c>
      <c r="M382" s="4">
        <v>3829</v>
      </c>
      <c r="P382" s="4">
        <v>3</v>
      </c>
      <c r="Q382" s="4" t="s">
        <v>173</v>
      </c>
      <c r="R382" s="35">
        <v>9.2688622474670392</v>
      </c>
      <c r="S382" s="4">
        <v>1289</v>
      </c>
      <c r="V382" s="4">
        <v>3</v>
      </c>
      <c r="W382" s="4" t="s">
        <v>173</v>
      </c>
      <c r="X382" s="35">
        <v>9.2118721008300799</v>
      </c>
      <c r="Y382" s="4">
        <v>1284</v>
      </c>
      <c r="AB382" s="4">
        <v>3</v>
      </c>
      <c r="AC382" s="4" t="s">
        <v>175</v>
      </c>
      <c r="AD382" s="35">
        <v>8.0891509056091309</v>
      </c>
      <c r="AE382" s="4">
        <v>1481</v>
      </c>
      <c r="AH382" s="4">
        <v>3</v>
      </c>
    </row>
    <row r="385" spans="1:38" x14ac:dyDescent="0.2">
      <c r="A385" s="24" t="s">
        <v>249</v>
      </c>
      <c r="D385" s="37" t="s">
        <v>222</v>
      </c>
      <c r="E385" s="38"/>
      <c r="F385" s="38"/>
      <c r="G385" s="39"/>
      <c r="H385" s="13"/>
      <c r="J385" s="37" t="s">
        <v>223</v>
      </c>
      <c r="K385" s="38"/>
      <c r="L385" s="38"/>
      <c r="M385" s="39"/>
      <c r="N385" s="13"/>
      <c r="P385" s="37" t="s">
        <v>224</v>
      </c>
      <c r="Q385" s="38"/>
      <c r="R385" s="38"/>
      <c r="S385" s="39"/>
      <c r="T385" s="13"/>
      <c r="V385" s="37" t="s">
        <v>229</v>
      </c>
      <c r="W385" s="38"/>
      <c r="X385" s="38"/>
      <c r="Y385" s="39"/>
      <c r="Z385" s="13"/>
      <c r="AB385" s="37" t="s">
        <v>230</v>
      </c>
      <c r="AC385" s="38"/>
      <c r="AD385" s="38"/>
      <c r="AE385" s="39"/>
      <c r="AH385" s="37" t="s">
        <v>231</v>
      </c>
      <c r="AI385" s="38"/>
      <c r="AJ385" s="38"/>
      <c r="AK385" s="39"/>
      <c r="AL385" s="35"/>
    </row>
    <row r="386" spans="1:38" ht="51" x14ac:dyDescent="0.2">
      <c r="A386" s="25" t="s">
        <v>215</v>
      </c>
      <c r="B386" s="29" t="s">
        <v>233</v>
      </c>
      <c r="C386" s="25" t="s">
        <v>250</v>
      </c>
      <c r="D386" s="25" t="s">
        <v>219</v>
      </c>
      <c r="E386" s="29" t="s">
        <v>153</v>
      </c>
      <c r="F386" s="29" t="s">
        <v>155</v>
      </c>
      <c r="G386" s="25" t="s">
        <v>218</v>
      </c>
      <c r="J386" s="25" t="s">
        <v>219</v>
      </c>
      <c r="K386" s="29" t="s">
        <v>153</v>
      </c>
      <c r="L386" s="29" t="s">
        <v>155</v>
      </c>
      <c r="M386" s="25" t="s">
        <v>218</v>
      </c>
      <c r="P386" s="25" t="s">
        <v>219</v>
      </c>
      <c r="Q386" s="29" t="s">
        <v>153</v>
      </c>
      <c r="R386" s="29" t="s">
        <v>155</v>
      </c>
      <c r="S386" s="25" t="s">
        <v>218</v>
      </c>
      <c r="V386" s="25" t="s">
        <v>219</v>
      </c>
      <c r="W386" s="29" t="s">
        <v>153</v>
      </c>
      <c r="X386" s="29" t="s">
        <v>155</v>
      </c>
      <c r="Y386" s="25" t="s">
        <v>218</v>
      </c>
      <c r="AB386" s="25" t="s">
        <v>219</v>
      </c>
      <c r="AC386" s="29" t="s">
        <v>153</v>
      </c>
      <c r="AD386" s="29" t="s">
        <v>155</v>
      </c>
      <c r="AE386" s="25" t="s">
        <v>218</v>
      </c>
      <c r="AH386" s="25" t="s">
        <v>219</v>
      </c>
      <c r="AI386" s="29" t="s">
        <v>153</v>
      </c>
      <c r="AJ386" s="29" t="s">
        <v>155</v>
      </c>
      <c r="AK386" s="25" t="s">
        <v>218</v>
      </c>
    </row>
    <row r="387" spans="1:38" x14ac:dyDescent="0.2">
      <c r="A387" s="34">
        <v>1</v>
      </c>
      <c r="B387" s="12" t="s">
        <v>0</v>
      </c>
      <c r="C387" s="4" t="s">
        <v>175</v>
      </c>
      <c r="D387" s="4">
        <v>1</v>
      </c>
      <c r="E387" s="4" t="s">
        <v>173</v>
      </c>
      <c r="F387" s="4">
        <v>6.55</v>
      </c>
      <c r="G387" s="4">
        <v>2639</v>
      </c>
      <c r="J387" s="4">
        <v>1</v>
      </c>
      <c r="K387" s="4" t="s">
        <v>173</v>
      </c>
      <c r="L387" s="4">
        <v>10.74</v>
      </c>
      <c r="M387" s="4">
        <v>2653</v>
      </c>
      <c r="P387" s="4">
        <v>1</v>
      </c>
      <c r="Q387" s="4" t="s">
        <v>173</v>
      </c>
      <c r="R387" s="4">
        <v>8.07</v>
      </c>
      <c r="S387" s="4">
        <v>1974</v>
      </c>
      <c r="V387" s="4">
        <v>1</v>
      </c>
      <c r="W387" s="4" t="s">
        <v>173</v>
      </c>
      <c r="X387" s="4">
        <v>10.41</v>
      </c>
      <c r="Y387" s="4">
        <v>1750</v>
      </c>
      <c r="AB387" s="4">
        <v>1</v>
      </c>
      <c r="AC387" s="4" t="s">
        <v>173</v>
      </c>
      <c r="AD387" s="4">
        <v>5.93</v>
      </c>
      <c r="AE387" s="4">
        <v>2169</v>
      </c>
      <c r="AH387" s="4">
        <v>1</v>
      </c>
      <c r="AI387" s="4" t="s">
        <v>173</v>
      </c>
      <c r="AJ387" s="4">
        <v>21.46</v>
      </c>
      <c r="AK387" s="4" t="s">
        <v>180</v>
      </c>
    </row>
    <row r="388" spans="1:38" x14ac:dyDescent="0.2">
      <c r="A388" s="34">
        <v>2</v>
      </c>
      <c r="B388" s="12" t="s">
        <v>0</v>
      </c>
      <c r="C388" s="4" t="s">
        <v>173</v>
      </c>
      <c r="D388" s="4">
        <v>1</v>
      </c>
      <c r="E388" s="4" t="s">
        <v>173</v>
      </c>
      <c r="F388" s="4">
        <v>6</v>
      </c>
      <c r="G388" s="4">
        <v>2454</v>
      </c>
      <c r="J388" s="4">
        <v>1</v>
      </c>
      <c r="K388" s="4" t="s">
        <v>173</v>
      </c>
      <c r="L388" s="4">
        <v>10.43</v>
      </c>
      <c r="M388" s="4">
        <v>2712</v>
      </c>
      <c r="P388" s="4">
        <v>1</v>
      </c>
      <c r="Q388" s="4" t="s">
        <v>173</v>
      </c>
      <c r="R388" s="4">
        <v>7.54</v>
      </c>
      <c r="S388" s="4">
        <v>1946</v>
      </c>
      <c r="V388" s="4">
        <v>1</v>
      </c>
      <c r="W388" s="4" t="s">
        <v>173</v>
      </c>
      <c r="X388" s="4">
        <v>8.99</v>
      </c>
      <c r="Y388" s="4">
        <v>1729</v>
      </c>
      <c r="AB388" s="4">
        <v>1</v>
      </c>
      <c r="AC388" s="4" t="s">
        <v>173</v>
      </c>
      <c r="AD388" s="4">
        <v>6.01</v>
      </c>
      <c r="AE388" s="4">
        <v>2148</v>
      </c>
      <c r="AH388" s="4">
        <v>1</v>
      </c>
      <c r="AI388" s="4" t="s">
        <v>175</v>
      </c>
      <c r="AJ388" s="4">
        <v>15.56</v>
      </c>
      <c r="AK388" s="4" t="s">
        <v>180</v>
      </c>
    </row>
    <row r="389" spans="1:38" x14ac:dyDescent="0.2">
      <c r="A389" s="34">
        <v>3</v>
      </c>
      <c r="B389" s="12" t="s">
        <v>4</v>
      </c>
      <c r="C389" s="4" t="s">
        <v>175</v>
      </c>
      <c r="D389" s="4">
        <v>1</v>
      </c>
      <c r="E389" s="4" t="s">
        <v>173</v>
      </c>
      <c r="F389" s="4">
        <v>8.58</v>
      </c>
      <c r="G389" s="4">
        <v>3116</v>
      </c>
      <c r="J389" s="4">
        <v>1</v>
      </c>
      <c r="K389" s="4" t="s">
        <v>173</v>
      </c>
      <c r="L389" s="4">
        <v>15.95</v>
      </c>
      <c r="M389" s="4">
        <v>3302</v>
      </c>
      <c r="P389" s="4">
        <v>1</v>
      </c>
      <c r="Q389" s="4" t="s">
        <v>173</v>
      </c>
      <c r="R389" s="4">
        <v>10.119999999999999</v>
      </c>
      <c r="S389" s="4">
        <v>2076</v>
      </c>
      <c r="V389" s="4">
        <v>1</v>
      </c>
      <c r="W389" s="4" t="s">
        <v>173</v>
      </c>
      <c r="X389" s="4">
        <v>11.54</v>
      </c>
      <c r="Y389" s="4">
        <v>1892</v>
      </c>
      <c r="AB389" s="4">
        <v>1</v>
      </c>
      <c r="AC389" s="4" t="s">
        <v>173</v>
      </c>
      <c r="AD389" s="4">
        <v>5.92</v>
      </c>
      <c r="AE389" s="4">
        <v>2276</v>
      </c>
      <c r="AH389" s="4">
        <v>1</v>
      </c>
      <c r="AI389" s="4" t="s">
        <v>173</v>
      </c>
      <c r="AJ389" s="4">
        <v>15.83</v>
      </c>
      <c r="AK389" s="4" t="s">
        <v>180</v>
      </c>
    </row>
    <row r="390" spans="1:38" x14ac:dyDescent="0.2">
      <c r="A390" s="34">
        <v>4</v>
      </c>
      <c r="B390" s="12" t="s">
        <v>4</v>
      </c>
      <c r="C390" s="4" t="s">
        <v>173</v>
      </c>
      <c r="D390" s="4">
        <v>1</v>
      </c>
      <c r="E390" s="4" t="s">
        <v>173</v>
      </c>
      <c r="F390" s="4">
        <v>7.35</v>
      </c>
      <c r="G390" s="4">
        <v>2770</v>
      </c>
      <c r="J390" s="4">
        <v>1</v>
      </c>
      <c r="K390" s="4" t="s">
        <v>173</v>
      </c>
      <c r="L390" s="4">
        <v>12.27</v>
      </c>
      <c r="M390" s="4">
        <v>2903</v>
      </c>
      <c r="P390" s="4">
        <v>1</v>
      </c>
      <c r="Q390" s="4" t="s">
        <v>173</v>
      </c>
      <c r="R390" s="4">
        <v>9.6</v>
      </c>
      <c r="S390" s="4">
        <v>2068</v>
      </c>
      <c r="V390" s="4">
        <v>1</v>
      </c>
      <c r="W390" s="4" t="s">
        <v>173</v>
      </c>
      <c r="X390" s="4">
        <v>10.119999999999999</v>
      </c>
      <c r="Y390" s="4">
        <v>1862</v>
      </c>
      <c r="AB390" s="4">
        <v>1</v>
      </c>
      <c r="AC390" s="4" t="s">
        <v>175</v>
      </c>
      <c r="AD390" s="4">
        <v>7.04</v>
      </c>
      <c r="AE390" s="4">
        <v>2304</v>
      </c>
      <c r="AH390" s="4">
        <v>1</v>
      </c>
      <c r="AI390" s="4" t="s">
        <v>175</v>
      </c>
      <c r="AJ390" s="4">
        <v>16.940000000000001</v>
      </c>
      <c r="AK390" s="4" t="s">
        <v>180</v>
      </c>
    </row>
    <row r="391" spans="1:38" x14ac:dyDescent="0.2">
      <c r="A391" s="34">
        <v>5</v>
      </c>
      <c r="B391" s="12" t="s">
        <v>12</v>
      </c>
      <c r="C391" s="4" t="s">
        <v>175</v>
      </c>
      <c r="D391" s="4">
        <v>1</v>
      </c>
      <c r="E391" s="4" t="s">
        <v>173</v>
      </c>
      <c r="F391" s="4">
        <v>7.36</v>
      </c>
      <c r="G391" s="4">
        <v>2705</v>
      </c>
      <c r="J391" s="4">
        <v>1</v>
      </c>
      <c r="K391" s="4" t="s">
        <v>173</v>
      </c>
      <c r="L391" s="4">
        <v>13.7</v>
      </c>
      <c r="M391" s="4">
        <v>3018</v>
      </c>
      <c r="P391" s="4">
        <v>1</v>
      </c>
      <c r="Q391" s="4" t="s">
        <v>173</v>
      </c>
      <c r="R391" s="4">
        <v>9.2899999999999991</v>
      </c>
      <c r="S391" s="4">
        <v>2036</v>
      </c>
      <c r="V391" s="4">
        <v>1</v>
      </c>
      <c r="W391" s="4" t="s">
        <v>173</v>
      </c>
      <c r="X391" s="4">
        <v>9.5</v>
      </c>
      <c r="Y391" s="4">
        <v>1808</v>
      </c>
      <c r="AB391" s="4">
        <v>1</v>
      </c>
      <c r="AC391" s="4" t="s">
        <v>173</v>
      </c>
      <c r="AD391" s="4">
        <v>7.66</v>
      </c>
      <c r="AE391" s="4">
        <v>2250</v>
      </c>
      <c r="AH391" s="4">
        <v>1</v>
      </c>
      <c r="AI391" s="4" t="s">
        <v>173</v>
      </c>
      <c r="AJ391" s="4">
        <v>15.48</v>
      </c>
      <c r="AK391" s="4" t="s">
        <v>180</v>
      </c>
    </row>
    <row r="392" spans="1:38" x14ac:dyDescent="0.2">
      <c r="A392" s="34">
        <v>6</v>
      </c>
      <c r="B392" s="12" t="s">
        <v>12</v>
      </c>
      <c r="C392" s="4" t="s">
        <v>173</v>
      </c>
      <c r="D392" s="4">
        <v>1</v>
      </c>
      <c r="E392" s="4" t="s">
        <v>173</v>
      </c>
      <c r="F392" s="4">
        <v>5.71</v>
      </c>
      <c r="G392" s="4">
        <v>2521</v>
      </c>
      <c r="J392" s="4">
        <v>1</v>
      </c>
      <c r="K392" s="4" t="s">
        <v>173</v>
      </c>
      <c r="L392" s="4">
        <v>11.24</v>
      </c>
      <c r="M392" s="4">
        <v>2766</v>
      </c>
      <c r="P392" s="4">
        <v>1</v>
      </c>
      <c r="Q392" s="4" t="s">
        <v>173</v>
      </c>
      <c r="R392" s="4">
        <v>8.17</v>
      </c>
      <c r="S392" s="4">
        <v>1978</v>
      </c>
      <c r="V392" s="4">
        <v>1</v>
      </c>
      <c r="W392" s="4" t="s">
        <v>173</v>
      </c>
      <c r="X392" s="4">
        <v>7.77</v>
      </c>
      <c r="Y392" s="4">
        <v>1739</v>
      </c>
      <c r="AB392" s="4">
        <v>1</v>
      </c>
      <c r="AC392" s="4" t="s">
        <v>173</v>
      </c>
      <c r="AD392" s="4">
        <v>6.03</v>
      </c>
      <c r="AE392" s="4">
        <v>2191</v>
      </c>
      <c r="AH392" s="4">
        <v>1</v>
      </c>
      <c r="AI392" s="4" t="s">
        <v>175</v>
      </c>
      <c r="AJ392" s="4">
        <v>17.489999999999998</v>
      </c>
      <c r="AK392" s="4" t="s">
        <v>180</v>
      </c>
    </row>
    <row r="393" spans="1:38" x14ac:dyDescent="0.2">
      <c r="A393" s="34">
        <v>7</v>
      </c>
      <c r="B393" s="12" t="s">
        <v>20</v>
      </c>
      <c r="C393" s="4" t="s">
        <v>175</v>
      </c>
      <c r="D393" s="4">
        <v>1</v>
      </c>
      <c r="E393" s="4" t="s">
        <v>173</v>
      </c>
      <c r="F393" s="4">
        <v>14.31</v>
      </c>
      <c r="G393" s="4">
        <v>4161</v>
      </c>
      <c r="J393" s="4">
        <v>1</v>
      </c>
      <c r="K393" s="4" t="s">
        <v>173</v>
      </c>
      <c r="L393" s="4">
        <v>35.61</v>
      </c>
      <c r="M393" s="4">
        <v>5395</v>
      </c>
      <c r="P393" s="4">
        <v>1</v>
      </c>
      <c r="Q393" s="4" t="s">
        <v>173</v>
      </c>
      <c r="R393" s="4">
        <v>11.45</v>
      </c>
      <c r="S393" s="4">
        <v>2103</v>
      </c>
      <c r="V393" s="4">
        <v>1</v>
      </c>
      <c r="W393" s="4" t="s">
        <v>175</v>
      </c>
      <c r="X393" s="4">
        <v>16.05</v>
      </c>
      <c r="Y393" s="4">
        <v>1834</v>
      </c>
      <c r="AB393" s="4">
        <v>1</v>
      </c>
      <c r="AC393" s="4" t="s">
        <v>173</v>
      </c>
      <c r="AD393" s="4">
        <v>7.76</v>
      </c>
      <c r="AE393" s="4">
        <v>2345</v>
      </c>
      <c r="AH393" s="4">
        <v>1</v>
      </c>
      <c r="AI393" s="4" t="s">
        <v>173</v>
      </c>
      <c r="AJ393" s="4">
        <v>15.65</v>
      </c>
      <c r="AK393" s="4" t="s">
        <v>180</v>
      </c>
    </row>
    <row r="394" spans="1:38" x14ac:dyDescent="0.2">
      <c r="A394" s="34">
        <v>8</v>
      </c>
      <c r="B394" s="12" t="s">
        <v>20</v>
      </c>
      <c r="C394" s="4" t="s">
        <v>173</v>
      </c>
      <c r="D394" s="4">
        <v>1</v>
      </c>
      <c r="E394" s="4" t="s">
        <v>173</v>
      </c>
      <c r="F394" s="4">
        <v>6.74</v>
      </c>
      <c r="G394" s="4">
        <v>2738</v>
      </c>
      <c r="J394" s="4">
        <v>1</v>
      </c>
      <c r="K394" s="4" t="s">
        <v>173</v>
      </c>
      <c r="L394" s="4">
        <v>11.34</v>
      </c>
      <c r="M394" s="4">
        <v>2768</v>
      </c>
      <c r="P394" s="4">
        <v>1</v>
      </c>
      <c r="Q394" s="4" t="s">
        <v>173</v>
      </c>
      <c r="R394" s="4">
        <v>9.3000000000000007</v>
      </c>
      <c r="S394" s="4">
        <v>2025</v>
      </c>
      <c r="V394" s="4">
        <v>1</v>
      </c>
      <c r="W394" s="4" t="s">
        <v>173</v>
      </c>
      <c r="X394" s="4">
        <v>13.28</v>
      </c>
      <c r="Y394" s="4">
        <v>1816</v>
      </c>
      <c r="AB394" s="4">
        <v>1</v>
      </c>
      <c r="AC394" s="4" t="s">
        <v>173</v>
      </c>
      <c r="AD394" s="4">
        <v>6.53</v>
      </c>
      <c r="AE394" s="4">
        <v>2271</v>
      </c>
      <c r="AH394" s="4">
        <v>1</v>
      </c>
      <c r="AI394" s="4" t="s">
        <v>175</v>
      </c>
      <c r="AJ394" s="4">
        <v>15.64</v>
      </c>
      <c r="AK394" s="4" t="s">
        <v>180</v>
      </c>
    </row>
    <row r="395" spans="1:38" x14ac:dyDescent="0.2">
      <c r="A395" s="34">
        <v>9</v>
      </c>
      <c r="B395" s="12" t="s">
        <v>0</v>
      </c>
      <c r="C395" s="4" t="s">
        <v>175</v>
      </c>
      <c r="D395" s="4">
        <v>1</v>
      </c>
      <c r="E395" s="4" t="s">
        <v>173</v>
      </c>
      <c r="F395" s="4">
        <v>6.53</v>
      </c>
      <c r="G395" s="4">
        <v>2651</v>
      </c>
      <c r="J395" s="4">
        <v>1</v>
      </c>
      <c r="K395" s="4" t="s">
        <v>173</v>
      </c>
      <c r="L395" s="4">
        <v>13.91</v>
      </c>
      <c r="M395" s="4">
        <v>3084</v>
      </c>
      <c r="P395" s="4">
        <v>1</v>
      </c>
      <c r="Q395" s="4" t="s">
        <v>173</v>
      </c>
      <c r="R395" s="4">
        <v>7.66</v>
      </c>
      <c r="S395" s="4">
        <v>1967</v>
      </c>
      <c r="V395" s="4">
        <v>1</v>
      </c>
      <c r="W395" s="4" t="s">
        <v>173</v>
      </c>
      <c r="X395" s="4">
        <v>10.01</v>
      </c>
      <c r="Y395" s="4">
        <v>1760</v>
      </c>
      <c r="AB395" s="4">
        <v>1</v>
      </c>
      <c r="AC395" s="4" t="s">
        <v>173</v>
      </c>
      <c r="AD395" s="4">
        <v>5.3</v>
      </c>
      <c r="AE395" s="4">
        <v>2158</v>
      </c>
      <c r="AH395" s="4">
        <v>1</v>
      </c>
      <c r="AI395" s="4" t="s">
        <v>173</v>
      </c>
      <c r="AJ395" s="4">
        <v>18.07</v>
      </c>
      <c r="AK395" s="4" t="s">
        <v>180</v>
      </c>
    </row>
    <row r="396" spans="1:38" x14ac:dyDescent="0.2">
      <c r="A396" s="34">
        <v>10</v>
      </c>
      <c r="B396" s="12" t="s">
        <v>0</v>
      </c>
      <c r="C396" s="4" t="s">
        <v>173</v>
      </c>
      <c r="D396" s="4">
        <v>1</v>
      </c>
      <c r="E396" s="4" t="s">
        <v>173</v>
      </c>
      <c r="F396" s="4">
        <v>6.22</v>
      </c>
      <c r="G396" s="4">
        <v>2593</v>
      </c>
      <c r="J396" s="4">
        <v>1</v>
      </c>
      <c r="K396" s="4" t="s">
        <v>173</v>
      </c>
      <c r="L396" s="4">
        <v>11.76</v>
      </c>
      <c r="M396" s="4">
        <v>2804</v>
      </c>
      <c r="P396" s="4">
        <v>1</v>
      </c>
      <c r="Q396" s="4" t="s">
        <v>173</v>
      </c>
      <c r="R396" s="4">
        <v>7.35</v>
      </c>
      <c r="S396" s="4">
        <v>1946</v>
      </c>
      <c r="V396" s="4">
        <v>1</v>
      </c>
      <c r="W396" s="4" t="s">
        <v>173</v>
      </c>
      <c r="X396" s="4">
        <v>20.91</v>
      </c>
      <c r="Y396" s="4">
        <v>1735</v>
      </c>
      <c r="AB396" s="4">
        <v>1</v>
      </c>
      <c r="AC396" s="4" t="s">
        <v>173</v>
      </c>
      <c r="AD396" s="4">
        <v>6.5</v>
      </c>
      <c r="AE396" s="4">
        <v>2129</v>
      </c>
      <c r="AH396" s="4">
        <v>1</v>
      </c>
      <c r="AI396" s="4" t="s">
        <v>175</v>
      </c>
      <c r="AJ396" s="4">
        <v>18.09</v>
      </c>
      <c r="AK396" s="4" t="s">
        <v>180</v>
      </c>
    </row>
    <row r="397" spans="1:38" x14ac:dyDescent="0.2">
      <c r="A397" s="34">
        <v>11</v>
      </c>
      <c r="B397" s="12" t="s">
        <v>4</v>
      </c>
      <c r="C397" s="4" t="s">
        <v>175</v>
      </c>
      <c r="D397" s="4">
        <v>1</v>
      </c>
      <c r="E397" s="4" t="s">
        <v>173</v>
      </c>
      <c r="F397" s="4">
        <v>10.33</v>
      </c>
      <c r="G397" s="4">
        <v>3539</v>
      </c>
      <c r="J397" s="4">
        <v>1</v>
      </c>
      <c r="K397" s="4" t="s">
        <v>173</v>
      </c>
      <c r="L397" s="4">
        <v>17.489999999999998</v>
      </c>
      <c r="M397" s="4">
        <v>3624</v>
      </c>
      <c r="P397" s="4">
        <v>1</v>
      </c>
      <c r="Q397" s="4" t="s">
        <v>173</v>
      </c>
      <c r="R397" s="4">
        <v>11.24</v>
      </c>
      <c r="S397" s="4">
        <v>2083</v>
      </c>
      <c r="V397" s="4">
        <v>1</v>
      </c>
      <c r="W397" s="4" t="s">
        <v>173</v>
      </c>
      <c r="X397" s="4">
        <v>11.31</v>
      </c>
      <c r="Y397" s="4">
        <v>1886</v>
      </c>
      <c r="AB397" s="4">
        <v>1</v>
      </c>
      <c r="AC397" s="4" t="s">
        <v>173</v>
      </c>
      <c r="AD397" s="4">
        <v>7.37</v>
      </c>
      <c r="AE397" s="4">
        <v>2323</v>
      </c>
      <c r="AH397" s="4">
        <v>1</v>
      </c>
      <c r="AI397" s="4" t="s">
        <v>173</v>
      </c>
      <c r="AJ397" s="4">
        <v>26.52</v>
      </c>
      <c r="AK397" s="4" t="s">
        <v>180</v>
      </c>
    </row>
    <row r="398" spans="1:38" x14ac:dyDescent="0.2">
      <c r="A398" s="34">
        <v>12</v>
      </c>
      <c r="B398" s="12" t="s">
        <v>4</v>
      </c>
      <c r="C398" s="4" t="s">
        <v>173</v>
      </c>
      <c r="D398" s="4">
        <v>1</v>
      </c>
      <c r="E398" s="4" t="s">
        <v>173</v>
      </c>
      <c r="F398" s="4">
        <v>7.14</v>
      </c>
      <c r="G398" s="4">
        <v>2742</v>
      </c>
      <c r="J398" s="4">
        <v>1</v>
      </c>
      <c r="K398" s="4" t="s">
        <v>173</v>
      </c>
      <c r="L398" s="4">
        <v>23.84</v>
      </c>
      <c r="M398" s="4">
        <v>3997</v>
      </c>
      <c r="P398" s="4">
        <v>1</v>
      </c>
      <c r="Q398" s="4" t="s">
        <v>173</v>
      </c>
      <c r="R398" s="4">
        <v>10.1</v>
      </c>
      <c r="S398" s="4">
        <v>2054</v>
      </c>
      <c r="V398" s="4">
        <v>1</v>
      </c>
      <c r="W398" s="4" t="s">
        <v>173</v>
      </c>
      <c r="X398" s="4">
        <v>11.14</v>
      </c>
      <c r="Y398" s="4">
        <v>1861</v>
      </c>
      <c r="AB398" s="4">
        <v>1</v>
      </c>
      <c r="AC398" s="4" t="s">
        <v>173</v>
      </c>
      <c r="AD398" s="4">
        <v>6.64</v>
      </c>
      <c r="AE398" s="4">
        <v>2260</v>
      </c>
      <c r="AH398" s="4">
        <v>1</v>
      </c>
      <c r="AI398" s="4" t="s">
        <v>175</v>
      </c>
      <c r="AJ398" s="4">
        <v>26.86</v>
      </c>
      <c r="AK398" s="4" t="s">
        <v>180</v>
      </c>
    </row>
    <row r="399" spans="1:38" x14ac:dyDescent="0.2">
      <c r="A399" s="34">
        <v>13</v>
      </c>
      <c r="B399" s="12" t="s">
        <v>12</v>
      </c>
      <c r="C399" s="4" t="s">
        <v>175</v>
      </c>
      <c r="D399" s="4">
        <v>1</v>
      </c>
      <c r="E399" s="4" t="s">
        <v>173</v>
      </c>
      <c r="F399" s="4">
        <v>6.63</v>
      </c>
      <c r="G399" s="4">
        <v>2699</v>
      </c>
      <c r="J399" s="4">
        <v>1</v>
      </c>
      <c r="K399" s="4" t="s">
        <v>173</v>
      </c>
      <c r="L399" s="4">
        <v>12.45</v>
      </c>
      <c r="M399" s="4">
        <v>2945</v>
      </c>
      <c r="P399" s="4">
        <v>1</v>
      </c>
      <c r="Q399" s="4" t="s">
        <v>173</v>
      </c>
      <c r="R399" s="4">
        <v>8.3800000000000008</v>
      </c>
      <c r="S399" s="4">
        <v>2006</v>
      </c>
      <c r="V399" s="4">
        <v>1</v>
      </c>
      <c r="W399" s="4" t="s">
        <v>173</v>
      </c>
      <c r="X399" s="4">
        <v>9.82</v>
      </c>
      <c r="Y399" s="4">
        <v>1787</v>
      </c>
      <c r="AB399" s="4">
        <v>1</v>
      </c>
      <c r="AC399" s="4" t="s">
        <v>173</v>
      </c>
      <c r="AD399" s="4">
        <v>6.43</v>
      </c>
      <c r="AE399" s="4">
        <v>2240</v>
      </c>
      <c r="AH399" s="4">
        <v>1</v>
      </c>
      <c r="AI399" s="4" t="s">
        <v>173</v>
      </c>
      <c r="AJ399" s="4">
        <v>15.84</v>
      </c>
      <c r="AK399" s="4" t="s">
        <v>180</v>
      </c>
    </row>
    <row r="400" spans="1:38" x14ac:dyDescent="0.2">
      <c r="A400" s="34">
        <v>14</v>
      </c>
      <c r="B400" s="12" t="s">
        <v>12</v>
      </c>
      <c r="C400" s="4" t="s">
        <v>173</v>
      </c>
      <c r="D400" s="4">
        <v>1</v>
      </c>
      <c r="E400" s="4" t="s">
        <v>173</v>
      </c>
      <c r="F400" s="4">
        <v>6.23</v>
      </c>
      <c r="G400" s="4">
        <v>2546</v>
      </c>
      <c r="J400" s="4">
        <v>1</v>
      </c>
      <c r="K400" s="4" t="s">
        <v>173</v>
      </c>
      <c r="L400" s="4">
        <v>11.04</v>
      </c>
      <c r="M400" s="4">
        <v>2739</v>
      </c>
      <c r="P400" s="4">
        <v>1</v>
      </c>
      <c r="Q400" s="4" t="s">
        <v>173</v>
      </c>
      <c r="R400" s="4">
        <v>8.6199999999999992</v>
      </c>
      <c r="S400" s="4">
        <v>1982</v>
      </c>
      <c r="V400" s="4">
        <v>1</v>
      </c>
      <c r="W400" s="4" t="s">
        <v>173</v>
      </c>
      <c r="X400" s="4">
        <v>8.4700000000000006</v>
      </c>
      <c r="Y400" s="4">
        <v>1746</v>
      </c>
      <c r="AB400" s="4">
        <v>1</v>
      </c>
      <c r="AC400" s="4" t="s">
        <v>173</v>
      </c>
      <c r="AD400" s="4">
        <v>5.91</v>
      </c>
      <c r="AE400" s="4">
        <v>2203</v>
      </c>
      <c r="AH400" s="4">
        <v>1</v>
      </c>
      <c r="AI400" s="4" t="s">
        <v>175</v>
      </c>
      <c r="AJ400" s="4">
        <v>17.11</v>
      </c>
      <c r="AK400" s="4" t="s">
        <v>180</v>
      </c>
    </row>
    <row r="401" spans="1:37" x14ac:dyDescent="0.2">
      <c r="A401" s="34">
        <v>15</v>
      </c>
      <c r="B401" s="12" t="s">
        <v>20</v>
      </c>
      <c r="C401" s="4" t="s">
        <v>175</v>
      </c>
      <c r="D401" s="4">
        <v>1</v>
      </c>
      <c r="E401" s="4" t="s">
        <v>173</v>
      </c>
      <c r="F401" s="4">
        <v>12.07</v>
      </c>
      <c r="G401" s="4">
        <v>3751</v>
      </c>
      <c r="J401" s="4">
        <v>1</v>
      </c>
      <c r="K401" s="4" t="s">
        <v>173</v>
      </c>
      <c r="L401" s="4">
        <v>20.36</v>
      </c>
      <c r="M401" s="4">
        <v>3726</v>
      </c>
      <c r="P401" s="4">
        <v>1</v>
      </c>
      <c r="Q401" s="4" t="s">
        <v>173</v>
      </c>
      <c r="R401" s="4">
        <v>10.8</v>
      </c>
      <c r="S401" s="4">
        <v>2064</v>
      </c>
      <c r="V401" s="4">
        <v>1</v>
      </c>
      <c r="W401" s="4" t="s">
        <v>173</v>
      </c>
      <c r="X401" s="4">
        <v>16.16</v>
      </c>
      <c r="Y401" s="4">
        <v>1874</v>
      </c>
      <c r="AB401" s="4">
        <v>1</v>
      </c>
      <c r="AC401" s="4" t="s">
        <v>173</v>
      </c>
      <c r="AD401" s="4">
        <v>8.58</v>
      </c>
      <c r="AE401" s="4">
        <v>2371</v>
      </c>
      <c r="AH401" s="4">
        <v>1</v>
      </c>
      <c r="AI401" s="4" t="s">
        <v>175</v>
      </c>
      <c r="AJ401" s="4">
        <v>16.05</v>
      </c>
      <c r="AK401" s="4" t="s">
        <v>180</v>
      </c>
    </row>
    <row r="402" spans="1:37" x14ac:dyDescent="0.2">
      <c r="A402" s="34">
        <v>16</v>
      </c>
      <c r="B402" s="12" t="s">
        <v>20</v>
      </c>
      <c r="C402" s="4" t="s">
        <v>173</v>
      </c>
      <c r="D402" s="4">
        <v>1</v>
      </c>
      <c r="E402" s="4" t="s">
        <v>173</v>
      </c>
      <c r="F402" s="4">
        <v>6.43</v>
      </c>
      <c r="G402" s="4">
        <v>2725</v>
      </c>
      <c r="J402" s="4">
        <v>1</v>
      </c>
      <c r="K402" s="4" t="s">
        <v>173</v>
      </c>
      <c r="L402" s="4">
        <v>14.21</v>
      </c>
      <c r="M402" s="4">
        <v>3093</v>
      </c>
      <c r="P402" s="4">
        <v>1</v>
      </c>
      <c r="Q402" s="4" t="s">
        <v>173</v>
      </c>
      <c r="R402" s="4">
        <v>10.72</v>
      </c>
      <c r="S402" s="4">
        <v>2025</v>
      </c>
      <c r="V402" s="4">
        <v>1</v>
      </c>
      <c r="W402" s="4" t="s">
        <v>173</v>
      </c>
      <c r="X402" s="4">
        <v>9.61</v>
      </c>
      <c r="Y402" s="4">
        <v>1814</v>
      </c>
      <c r="AB402" s="4">
        <v>1</v>
      </c>
      <c r="AC402" s="4" t="s">
        <v>173</v>
      </c>
      <c r="AD402" s="4">
        <v>5.72</v>
      </c>
      <c r="AE402" s="4">
        <v>2263</v>
      </c>
      <c r="AH402" s="4">
        <v>1</v>
      </c>
      <c r="AI402" s="4" t="s">
        <v>175</v>
      </c>
      <c r="AJ402" s="4">
        <v>16.96</v>
      </c>
      <c r="AK402" s="4" t="s">
        <v>180</v>
      </c>
    </row>
    <row r="403" spans="1:37" x14ac:dyDescent="0.2">
      <c r="A403" s="34">
        <v>1</v>
      </c>
      <c r="B403" s="12" t="s">
        <v>0</v>
      </c>
      <c r="C403" s="4" t="s">
        <v>175</v>
      </c>
      <c r="D403" s="4">
        <v>2</v>
      </c>
      <c r="E403" s="4" t="s">
        <v>173</v>
      </c>
      <c r="F403" s="4">
        <v>6.33</v>
      </c>
      <c r="G403" s="4">
        <v>2622</v>
      </c>
      <c r="J403" s="4">
        <v>2</v>
      </c>
      <c r="K403" s="4" t="s">
        <v>173</v>
      </c>
      <c r="L403" s="4">
        <v>11.06</v>
      </c>
      <c r="M403" s="4">
        <v>2574</v>
      </c>
      <c r="P403" s="4">
        <v>2</v>
      </c>
      <c r="Q403" s="4" t="s">
        <v>173</v>
      </c>
      <c r="R403" s="4">
        <v>8.4499999999999993</v>
      </c>
      <c r="S403" s="4">
        <v>1968</v>
      </c>
      <c r="V403" s="4">
        <v>2</v>
      </c>
      <c r="W403" s="4" t="s">
        <v>173</v>
      </c>
      <c r="X403" s="4">
        <v>12.28</v>
      </c>
      <c r="Y403" s="4">
        <v>1752</v>
      </c>
      <c r="AB403" s="4">
        <v>2</v>
      </c>
      <c r="AC403" s="4" t="s">
        <v>173</v>
      </c>
      <c r="AD403" s="4">
        <v>5.34</v>
      </c>
      <c r="AE403" s="4">
        <v>2166</v>
      </c>
      <c r="AH403" s="4">
        <v>2</v>
      </c>
      <c r="AI403" s="4" t="s">
        <v>173</v>
      </c>
      <c r="AJ403" s="4">
        <v>21.46</v>
      </c>
      <c r="AK403" s="4" t="s">
        <v>180</v>
      </c>
    </row>
    <row r="404" spans="1:37" x14ac:dyDescent="0.2">
      <c r="A404" s="34">
        <v>2</v>
      </c>
      <c r="B404" s="12" t="s">
        <v>0</v>
      </c>
      <c r="C404" s="4" t="s">
        <v>173</v>
      </c>
      <c r="D404" s="4">
        <v>2</v>
      </c>
      <c r="E404" s="4" t="s">
        <v>173</v>
      </c>
      <c r="F404" s="4">
        <v>4.97</v>
      </c>
      <c r="G404" s="4">
        <v>2482</v>
      </c>
      <c r="J404" s="4">
        <v>2</v>
      </c>
      <c r="K404" s="4" t="s">
        <v>173</v>
      </c>
      <c r="L404" s="4">
        <v>12.67</v>
      </c>
      <c r="M404" s="4">
        <v>2888</v>
      </c>
      <c r="P404" s="4">
        <v>2</v>
      </c>
      <c r="Q404" s="4" t="s">
        <v>173</v>
      </c>
      <c r="R404" s="4">
        <v>6.53</v>
      </c>
      <c r="S404" s="4">
        <v>1936</v>
      </c>
      <c r="V404" s="4">
        <v>2</v>
      </c>
      <c r="W404" s="4" t="s">
        <v>173</v>
      </c>
      <c r="X404" s="4">
        <v>9.0299999999999994</v>
      </c>
      <c r="Y404" s="4">
        <v>1722</v>
      </c>
      <c r="AB404" s="4">
        <v>2</v>
      </c>
      <c r="AC404" s="4" t="s">
        <v>173</v>
      </c>
      <c r="AD404" s="4">
        <v>6.18</v>
      </c>
      <c r="AE404" s="4">
        <v>2145</v>
      </c>
      <c r="AH404" s="4">
        <v>2</v>
      </c>
      <c r="AI404" s="4" t="s">
        <v>175</v>
      </c>
      <c r="AJ404" s="4">
        <v>15.56</v>
      </c>
      <c r="AK404" s="4" t="s">
        <v>180</v>
      </c>
    </row>
    <row r="405" spans="1:37" x14ac:dyDescent="0.2">
      <c r="A405" s="34">
        <v>3</v>
      </c>
      <c r="B405" s="12" t="s">
        <v>4</v>
      </c>
      <c r="C405" s="4" t="s">
        <v>175</v>
      </c>
      <c r="D405" s="4">
        <v>2</v>
      </c>
      <c r="E405" s="4" t="s">
        <v>173</v>
      </c>
      <c r="F405" s="4">
        <v>12.29</v>
      </c>
      <c r="G405" s="4">
        <v>3208</v>
      </c>
      <c r="J405" s="4">
        <v>2</v>
      </c>
      <c r="K405" s="4" t="s">
        <v>173</v>
      </c>
      <c r="L405" s="4">
        <v>15.64</v>
      </c>
      <c r="M405" s="4">
        <v>3390</v>
      </c>
      <c r="P405" s="4">
        <v>2</v>
      </c>
      <c r="Q405" s="4" t="s">
        <v>173</v>
      </c>
      <c r="R405" s="4">
        <v>10.43</v>
      </c>
      <c r="S405" s="4">
        <v>2077</v>
      </c>
      <c r="V405" s="4">
        <v>2</v>
      </c>
      <c r="W405" s="4" t="s">
        <v>173</v>
      </c>
      <c r="X405" s="4">
        <v>13.8</v>
      </c>
      <c r="Y405" s="4">
        <v>1917</v>
      </c>
      <c r="AB405" s="4">
        <v>2</v>
      </c>
      <c r="AC405" s="4" t="s">
        <v>173</v>
      </c>
      <c r="AD405" s="4">
        <v>9.09</v>
      </c>
      <c r="AE405" s="4">
        <v>2318</v>
      </c>
      <c r="AH405" s="4">
        <v>2</v>
      </c>
      <c r="AI405" s="4" t="s">
        <v>173</v>
      </c>
      <c r="AJ405" s="4">
        <v>15.83</v>
      </c>
      <c r="AK405" s="4" t="s">
        <v>180</v>
      </c>
    </row>
    <row r="406" spans="1:37" x14ac:dyDescent="0.2">
      <c r="A406" s="34">
        <v>4</v>
      </c>
      <c r="B406" s="12" t="s">
        <v>4</v>
      </c>
      <c r="C406" s="4" t="s">
        <v>173</v>
      </c>
      <c r="D406" s="4">
        <v>2</v>
      </c>
      <c r="E406" s="4" t="s">
        <v>173</v>
      </c>
      <c r="F406" s="4">
        <v>5.77</v>
      </c>
      <c r="G406" s="4">
        <v>2666</v>
      </c>
      <c r="J406" s="4">
        <v>2</v>
      </c>
      <c r="K406" s="4" t="s">
        <v>173</v>
      </c>
      <c r="L406" s="4">
        <v>10.74</v>
      </c>
      <c r="M406" s="4">
        <v>2713</v>
      </c>
      <c r="P406" s="4">
        <v>2</v>
      </c>
      <c r="Q406" s="4" t="s">
        <v>173</v>
      </c>
      <c r="R406" s="4">
        <v>10.32</v>
      </c>
      <c r="S406" s="4">
        <v>2075</v>
      </c>
      <c r="V406" s="4">
        <v>2</v>
      </c>
      <c r="W406" s="4" t="s">
        <v>173</v>
      </c>
      <c r="X406" s="4">
        <v>14.73</v>
      </c>
      <c r="Y406" s="4">
        <v>1864</v>
      </c>
      <c r="AB406" s="4">
        <v>2</v>
      </c>
      <c r="AC406" s="4" t="s">
        <v>175</v>
      </c>
      <c r="AD406" s="4">
        <v>7.05</v>
      </c>
      <c r="AE406" s="4">
        <v>2294</v>
      </c>
      <c r="AH406" s="4">
        <v>2</v>
      </c>
      <c r="AI406" s="4" t="s">
        <v>175</v>
      </c>
      <c r="AJ406" s="4">
        <v>16.940000000000001</v>
      </c>
      <c r="AK406" s="4" t="s">
        <v>180</v>
      </c>
    </row>
    <row r="407" spans="1:37" x14ac:dyDescent="0.2">
      <c r="A407" s="34">
        <v>5</v>
      </c>
      <c r="B407" s="12" t="s">
        <v>12</v>
      </c>
      <c r="C407" s="4" t="s">
        <v>175</v>
      </c>
      <c r="D407" s="4">
        <v>2</v>
      </c>
      <c r="E407" s="4" t="s">
        <v>173</v>
      </c>
      <c r="F407" s="4">
        <v>9.9700000000000006</v>
      </c>
      <c r="G407" s="4">
        <v>3420</v>
      </c>
      <c r="J407" s="4">
        <v>2</v>
      </c>
      <c r="K407" s="4" t="s">
        <v>173</v>
      </c>
      <c r="L407" s="4">
        <v>13.29</v>
      </c>
      <c r="M407" s="4">
        <v>2976</v>
      </c>
      <c r="P407" s="4">
        <v>2</v>
      </c>
      <c r="Q407" s="4" t="s">
        <v>173</v>
      </c>
      <c r="R407" s="4">
        <v>8.7899999999999991</v>
      </c>
      <c r="S407" s="4">
        <v>2039</v>
      </c>
      <c r="V407" s="4">
        <v>2</v>
      </c>
      <c r="W407" s="4" t="s">
        <v>173</v>
      </c>
      <c r="X407" s="4">
        <v>9.7100000000000009</v>
      </c>
      <c r="Y407" s="4">
        <v>1815</v>
      </c>
      <c r="AB407" s="4">
        <v>2</v>
      </c>
      <c r="AC407" s="4" t="s">
        <v>173</v>
      </c>
      <c r="AD407" s="4">
        <v>8.17</v>
      </c>
      <c r="AE407" s="4">
        <v>2246</v>
      </c>
      <c r="AH407" s="4">
        <v>2</v>
      </c>
      <c r="AI407" s="4" t="s">
        <v>173</v>
      </c>
      <c r="AJ407" s="4">
        <v>15.48</v>
      </c>
      <c r="AK407" s="4" t="s">
        <v>180</v>
      </c>
    </row>
    <row r="408" spans="1:37" x14ac:dyDescent="0.2">
      <c r="A408" s="34">
        <v>6</v>
      </c>
      <c r="B408" s="12" t="s">
        <v>12</v>
      </c>
      <c r="C408" s="4" t="s">
        <v>173</v>
      </c>
      <c r="D408" s="4">
        <v>2</v>
      </c>
      <c r="E408" s="4" t="s">
        <v>173</v>
      </c>
      <c r="F408" s="4">
        <v>5.4</v>
      </c>
      <c r="G408" s="4">
        <v>2551</v>
      </c>
      <c r="J408" s="4">
        <v>2</v>
      </c>
      <c r="K408" s="4" t="s">
        <v>173</v>
      </c>
      <c r="L408" s="4">
        <v>12.17</v>
      </c>
      <c r="M408" s="4">
        <v>2875</v>
      </c>
      <c r="P408" s="4">
        <v>2</v>
      </c>
      <c r="Q408" s="4" t="s">
        <v>173</v>
      </c>
      <c r="R408" s="4">
        <v>7.14</v>
      </c>
      <c r="S408" s="4">
        <v>1982</v>
      </c>
      <c r="V408" s="4">
        <v>2</v>
      </c>
      <c r="W408" s="4" t="s">
        <v>173</v>
      </c>
      <c r="X408" s="4">
        <v>9.1999999999999993</v>
      </c>
      <c r="Y408" s="4">
        <v>1745</v>
      </c>
      <c r="AB408" s="4">
        <v>2</v>
      </c>
      <c r="AC408" s="4" t="s">
        <v>173</v>
      </c>
      <c r="AD408" s="4">
        <v>6.13</v>
      </c>
      <c r="AE408" s="4">
        <v>2231</v>
      </c>
      <c r="AH408" s="4">
        <v>2</v>
      </c>
      <c r="AI408" s="4" t="s">
        <v>175</v>
      </c>
      <c r="AJ408" s="4">
        <v>17.489999999999998</v>
      </c>
      <c r="AK408" s="4" t="s">
        <v>180</v>
      </c>
    </row>
    <row r="409" spans="1:37" x14ac:dyDescent="0.2">
      <c r="A409" s="34">
        <v>7</v>
      </c>
      <c r="B409" s="12" t="s">
        <v>20</v>
      </c>
      <c r="C409" s="4" t="s">
        <v>175</v>
      </c>
      <c r="D409" s="4">
        <v>2</v>
      </c>
      <c r="E409" s="4" t="s">
        <v>173</v>
      </c>
      <c r="F409" s="4">
        <v>16.670000000000002</v>
      </c>
      <c r="G409" s="4">
        <v>4756</v>
      </c>
      <c r="J409" s="4">
        <v>2</v>
      </c>
      <c r="K409" s="4" t="s">
        <v>173</v>
      </c>
      <c r="L409" s="4">
        <v>26.91</v>
      </c>
      <c r="M409" s="4">
        <v>4408</v>
      </c>
      <c r="P409" s="4">
        <v>2</v>
      </c>
      <c r="Q409" s="4" t="s">
        <v>173</v>
      </c>
      <c r="R409" s="4">
        <v>10.83</v>
      </c>
      <c r="S409" s="4">
        <v>2080</v>
      </c>
      <c r="V409" s="4">
        <v>2</v>
      </c>
      <c r="W409" s="4" t="s">
        <v>173</v>
      </c>
      <c r="X409" s="4">
        <v>11.65</v>
      </c>
      <c r="Y409" s="4">
        <v>1901</v>
      </c>
      <c r="AB409" s="4">
        <v>2</v>
      </c>
      <c r="AC409" s="4" t="s">
        <v>173</v>
      </c>
      <c r="AD409" s="4">
        <v>8.07</v>
      </c>
      <c r="AE409" s="4">
        <v>2355</v>
      </c>
      <c r="AH409" s="4">
        <v>2</v>
      </c>
      <c r="AI409" s="4" t="s">
        <v>173</v>
      </c>
      <c r="AJ409" s="4">
        <v>15.65</v>
      </c>
      <c r="AK409" s="4" t="s">
        <v>180</v>
      </c>
    </row>
    <row r="410" spans="1:37" x14ac:dyDescent="0.2">
      <c r="A410" s="34">
        <v>8</v>
      </c>
      <c r="B410" s="12" t="s">
        <v>20</v>
      </c>
      <c r="C410" s="4" t="s">
        <v>173</v>
      </c>
      <c r="D410" s="4">
        <v>2</v>
      </c>
      <c r="E410" s="4" t="s">
        <v>173</v>
      </c>
      <c r="F410" s="4">
        <v>5.72</v>
      </c>
      <c r="G410" s="4">
        <v>2634</v>
      </c>
      <c r="J410" s="4">
        <v>2</v>
      </c>
      <c r="K410" s="4" t="s">
        <v>173</v>
      </c>
      <c r="L410" s="4">
        <v>10.119999999999999</v>
      </c>
      <c r="M410" s="4">
        <v>2695</v>
      </c>
      <c r="P410" s="4">
        <v>2</v>
      </c>
      <c r="Q410" s="4" t="s">
        <v>173</v>
      </c>
      <c r="R410" s="4">
        <v>8.99</v>
      </c>
      <c r="S410" s="4">
        <v>2030</v>
      </c>
      <c r="V410" s="4">
        <v>2</v>
      </c>
      <c r="W410" s="4" t="s">
        <v>173</v>
      </c>
      <c r="X410" s="4">
        <v>9.7100000000000009</v>
      </c>
      <c r="Y410" s="4">
        <v>1816</v>
      </c>
      <c r="AB410" s="4">
        <v>2</v>
      </c>
      <c r="AC410" s="4" t="s">
        <v>173</v>
      </c>
      <c r="AD410" s="4">
        <v>6.12</v>
      </c>
      <c r="AE410" s="4">
        <v>2255</v>
      </c>
      <c r="AH410" s="4">
        <v>2</v>
      </c>
      <c r="AI410" s="4" t="s">
        <v>175</v>
      </c>
      <c r="AJ410" s="4">
        <v>15.64</v>
      </c>
      <c r="AK410" s="4" t="s">
        <v>180</v>
      </c>
    </row>
    <row r="411" spans="1:37" x14ac:dyDescent="0.2">
      <c r="A411" s="34">
        <v>9</v>
      </c>
      <c r="B411" s="12" t="s">
        <v>0</v>
      </c>
      <c r="C411" s="4" t="s">
        <v>175</v>
      </c>
      <c r="D411" s="4">
        <v>2</v>
      </c>
      <c r="E411" s="4" t="s">
        <v>173</v>
      </c>
      <c r="F411" s="4">
        <v>6.22</v>
      </c>
      <c r="G411" s="4">
        <v>2657</v>
      </c>
      <c r="J411" s="4">
        <v>2</v>
      </c>
      <c r="K411" s="4" t="s">
        <v>173</v>
      </c>
      <c r="L411" s="4">
        <v>10.32</v>
      </c>
      <c r="M411" s="4">
        <v>2694</v>
      </c>
      <c r="P411" s="4">
        <v>2</v>
      </c>
      <c r="Q411" s="4" t="s">
        <v>173</v>
      </c>
      <c r="R411" s="4">
        <v>7.77</v>
      </c>
      <c r="S411" s="4">
        <v>1963</v>
      </c>
      <c r="V411" s="4">
        <v>2</v>
      </c>
      <c r="W411" s="4" t="s">
        <v>173</v>
      </c>
      <c r="X411" s="4">
        <v>9.14</v>
      </c>
      <c r="Y411" s="4">
        <v>1749</v>
      </c>
      <c r="AB411" s="4">
        <v>2</v>
      </c>
      <c r="AC411" s="4" t="s">
        <v>173</v>
      </c>
      <c r="AD411" s="4">
        <v>6.64</v>
      </c>
      <c r="AE411" s="4">
        <v>2232</v>
      </c>
      <c r="AH411" s="4">
        <v>2</v>
      </c>
      <c r="AI411" s="4" t="s">
        <v>173</v>
      </c>
      <c r="AJ411" s="4">
        <v>18.07</v>
      </c>
      <c r="AK411" s="4" t="s">
        <v>180</v>
      </c>
    </row>
    <row r="412" spans="1:37" x14ac:dyDescent="0.2">
      <c r="A412" s="34">
        <v>10</v>
      </c>
      <c r="B412" s="12" t="s">
        <v>0</v>
      </c>
      <c r="C412" s="4" t="s">
        <v>173</v>
      </c>
      <c r="D412" s="4">
        <v>2</v>
      </c>
      <c r="E412" s="4" t="s">
        <v>173</v>
      </c>
      <c r="F412" s="4">
        <v>4.99</v>
      </c>
      <c r="G412" s="4">
        <v>2452</v>
      </c>
      <c r="J412" s="4">
        <v>2</v>
      </c>
      <c r="K412" s="4" t="s">
        <v>173</v>
      </c>
      <c r="L412" s="4">
        <v>11.45</v>
      </c>
      <c r="M412" s="4">
        <v>2789</v>
      </c>
      <c r="P412" s="4">
        <v>2</v>
      </c>
      <c r="Q412" s="4" t="s">
        <v>173</v>
      </c>
      <c r="R412" s="4">
        <v>6.84</v>
      </c>
      <c r="S412" s="4">
        <v>1933</v>
      </c>
      <c r="V412" s="4">
        <v>2</v>
      </c>
      <c r="W412" s="4" t="s">
        <v>173</v>
      </c>
      <c r="X412" s="4">
        <v>7.41</v>
      </c>
      <c r="Y412" s="4">
        <v>1720</v>
      </c>
      <c r="AB412" s="4">
        <v>2</v>
      </c>
      <c r="AC412" s="4" t="s">
        <v>173</v>
      </c>
      <c r="AD412" s="4">
        <v>4.8899999999999997</v>
      </c>
      <c r="AE412" s="4">
        <v>2125</v>
      </c>
      <c r="AH412" s="4">
        <v>2</v>
      </c>
      <c r="AI412" s="4" t="s">
        <v>175</v>
      </c>
      <c r="AJ412" s="4">
        <v>18.09</v>
      </c>
      <c r="AK412" s="4" t="s">
        <v>180</v>
      </c>
    </row>
    <row r="413" spans="1:37" x14ac:dyDescent="0.2">
      <c r="A413" s="34">
        <v>11</v>
      </c>
      <c r="B413" s="12" t="s">
        <v>4</v>
      </c>
      <c r="C413" s="4" t="s">
        <v>175</v>
      </c>
      <c r="D413" s="4">
        <v>2</v>
      </c>
      <c r="E413" s="4" t="s">
        <v>173</v>
      </c>
      <c r="F413" s="4">
        <v>7.16</v>
      </c>
      <c r="G413" s="4">
        <v>2934</v>
      </c>
      <c r="J413" s="4">
        <v>2</v>
      </c>
      <c r="K413" s="4" t="s">
        <v>173</v>
      </c>
      <c r="L413" s="4">
        <v>19.329999999999998</v>
      </c>
      <c r="M413" s="4">
        <v>3650</v>
      </c>
      <c r="P413" s="4">
        <v>2</v>
      </c>
      <c r="Q413" s="4" t="s">
        <v>173</v>
      </c>
      <c r="R413" s="4">
        <v>11.65</v>
      </c>
      <c r="S413" s="4">
        <v>2069</v>
      </c>
      <c r="V413" s="4">
        <v>2</v>
      </c>
      <c r="W413" s="4" t="s">
        <v>173</v>
      </c>
      <c r="X413" s="4">
        <v>12.06</v>
      </c>
      <c r="Y413" s="4">
        <v>1885</v>
      </c>
      <c r="AB413" s="4">
        <v>2</v>
      </c>
      <c r="AC413" s="4" t="s">
        <v>173</v>
      </c>
      <c r="AD413" s="4">
        <v>6.02</v>
      </c>
      <c r="AE413" s="4">
        <v>2277</v>
      </c>
      <c r="AH413" s="4">
        <v>2</v>
      </c>
      <c r="AI413" s="4" t="s">
        <v>173</v>
      </c>
      <c r="AJ413" s="4">
        <v>26.52</v>
      </c>
      <c r="AK413" s="4" t="s">
        <v>180</v>
      </c>
    </row>
    <row r="414" spans="1:37" x14ac:dyDescent="0.2">
      <c r="A414" s="34">
        <v>12</v>
      </c>
      <c r="B414" s="12" t="s">
        <v>4</v>
      </c>
      <c r="C414" s="4" t="s">
        <v>173</v>
      </c>
      <c r="D414" s="4">
        <v>2</v>
      </c>
      <c r="E414" s="4" t="s">
        <v>173</v>
      </c>
      <c r="F414" s="4">
        <v>7.04</v>
      </c>
      <c r="G414" s="4">
        <v>2832</v>
      </c>
      <c r="J414" s="4">
        <v>2</v>
      </c>
      <c r="K414" s="4" t="s">
        <v>173</v>
      </c>
      <c r="L414" s="4">
        <v>18.2</v>
      </c>
      <c r="M414" s="4">
        <v>3559</v>
      </c>
      <c r="P414" s="4">
        <v>2</v>
      </c>
      <c r="Q414" s="4" t="s">
        <v>173</v>
      </c>
      <c r="R414" s="4">
        <v>8.98</v>
      </c>
      <c r="S414" s="4">
        <v>2037</v>
      </c>
      <c r="V414" s="4">
        <v>2</v>
      </c>
      <c r="W414" s="4" t="s">
        <v>173</v>
      </c>
      <c r="X414" s="4">
        <v>10.119999999999999</v>
      </c>
      <c r="Y414" s="4">
        <v>1849</v>
      </c>
      <c r="AB414" s="4">
        <v>2</v>
      </c>
      <c r="AC414" s="4" t="s">
        <v>173</v>
      </c>
      <c r="AD414" s="4">
        <v>6.01</v>
      </c>
      <c r="AE414" s="4">
        <v>2262</v>
      </c>
      <c r="AH414" s="4">
        <v>2</v>
      </c>
      <c r="AI414" s="4" t="s">
        <v>175</v>
      </c>
      <c r="AJ414" s="4">
        <v>26.86</v>
      </c>
      <c r="AK414" s="4" t="s">
        <v>180</v>
      </c>
    </row>
    <row r="415" spans="1:37" x14ac:dyDescent="0.2">
      <c r="A415" s="34">
        <v>13</v>
      </c>
      <c r="B415" s="12" t="s">
        <v>12</v>
      </c>
      <c r="C415" s="4" t="s">
        <v>175</v>
      </c>
      <c r="D415" s="4">
        <v>2</v>
      </c>
      <c r="E415" s="4" t="s">
        <v>173</v>
      </c>
      <c r="F415" s="4">
        <v>6.74</v>
      </c>
      <c r="G415" s="4">
        <v>2773</v>
      </c>
      <c r="J415" s="4">
        <v>2</v>
      </c>
      <c r="K415" s="4" t="s">
        <v>173</v>
      </c>
      <c r="L415" s="4">
        <v>11.65</v>
      </c>
      <c r="M415" s="4">
        <v>2810</v>
      </c>
      <c r="P415" s="4">
        <v>2</v>
      </c>
      <c r="Q415" s="4" t="s">
        <v>173</v>
      </c>
      <c r="R415" s="4">
        <v>8.3800000000000008</v>
      </c>
      <c r="S415" s="4">
        <v>2020</v>
      </c>
      <c r="V415" s="4">
        <v>2</v>
      </c>
      <c r="W415" s="4" t="s">
        <v>173</v>
      </c>
      <c r="X415" s="4">
        <v>10.41</v>
      </c>
      <c r="Y415" s="4">
        <v>1783</v>
      </c>
      <c r="AB415" s="4">
        <v>2</v>
      </c>
      <c r="AC415" s="4" t="s">
        <v>173</v>
      </c>
      <c r="AD415" s="4">
        <v>6.94</v>
      </c>
      <c r="AE415" s="4">
        <v>2245</v>
      </c>
      <c r="AH415" s="4">
        <v>2</v>
      </c>
      <c r="AI415" s="4" t="s">
        <v>173</v>
      </c>
      <c r="AJ415" s="4">
        <v>15.84</v>
      </c>
      <c r="AK415" s="4" t="s">
        <v>180</v>
      </c>
    </row>
    <row r="416" spans="1:37" x14ac:dyDescent="0.2">
      <c r="A416" s="34">
        <v>14</v>
      </c>
      <c r="B416" s="12" t="s">
        <v>12</v>
      </c>
      <c r="C416" s="4" t="s">
        <v>173</v>
      </c>
      <c r="D416" s="4">
        <v>2</v>
      </c>
      <c r="E416" s="4" t="s">
        <v>173</v>
      </c>
      <c r="F416" s="4">
        <v>5.71</v>
      </c>
      <c r="G416" s="4">
        <v>2570</v>
      </c>
      <c r="J416" s="4">
        <v>2</v>
      </c>
      <c r="K416" s="4" t="s">
        <v>173</v>
      </c>
      <c r="L416" s="4">
        <v>16.37</v>
      </c>
      <c r="M416" s="4">
        <v>3241</v>
      </c>
      <c r="P416" s="4">
        <v>2</v>
      </c>
      <c r="Q416" s="4" t="s">
        <v>173</v>
      </c>
      <c r="R416" s="4">
        <v>7.86</v>
      </c>
      <c r="S416" s="4">
        <v>1986</v>
      </c>
      <c r="V416" s="4">
        <v>2</v>
      </c>
      <c r="W416" s="4" t="s">
        <v>173</v>
      </c>
      <c r="X416" s="4">
        <v>8.07</v>
      </c>
      <c r="Y416" s="4">
        <v>1751</v>
      </c>
      <c r="AB416" s="4">
        <v>2</v>
      </c>
      <c r="AC416" s="4" t="s">
        <v>173</v>
      </c>
      <c r="AD416" s="4">
        <v>5.94</v>
      </c>
      <c r="AE416" s="4">
        <v>2194</v>
      </c>
      <c r="AH416" s="4">
        <v>2</v>
      </c>
      <c r="AI416" s="4" t="s">
        <v>175</v>
      </c>
      <c r="AJ416" s="4">
        <v>17.11</v>
      </c>
      <c r="AK416" s="4" t="s">
        <v>180</v>
      </c>
    </row>
    <row r="417" spans="1:37" x14ac:dyDescent="0.2">
      <c r="A417" s="34">
        <v>15</v>
      </c>
      <c r="B417" s="12" t="s">
        <v>20</v>
      </c>
      <c r="C417" s="4" t="s">
        <v>175</v>
      </c>
      <c r="D417" s="4">
        <v>2</v>
      </c>
      <c r="E417" s="4" t="s">
        <v>173</v>
      </c>
      <c r="F417" s="4">
        <v>28.72</v>
      </c>
      <c r="G417" s="4">
        <v>6977</v>
      </c>
      <c r="J417" s="4">
        <v>2</v>
      </c>
      <c r="K417" s="4" t="s">
        <v>173</v>
      </c>
      <c r="L417" s="4">
        <v>33.880000000000003</v>
      </c>
      <c r="M417" s="4">
        <v>5119</v>
      </c>
      <c r="P417" s="4">
        <v>2</v>
      </c>
      <c r="Q417" s="4" t="s">
        <v>173</v>
      </c>
      <c r="R417" s="4">
        <v>9.91</v>
      </c>
      <c r="S417" s="4">
        <v>2075</v>
      </c>
      <c r="V417" s="4">
        <v>2</v>
      </c>
      <c r="W417" s="4" t="s">
        <v>173</v>
      </c>
      <c r="X417" s="4">
        <v>11.14</v>
      </c>
      <c r="Y417" s="4">
        <v>1882</v>
      </c>
      <c r="AB417" s="4">
        <v>2</v>
      </c>
      <c r="AC417" s="4" t="s">
        <v>173</v>
      </c>
      <c r="AD417" s="4">
        <v>7.03</v>
      </c>
      <c r="AE417" s="4">
        <v>2320</v>
      </c>
      <c r="AH417" s="4">
        <v>2</v>
      </c>
      <c r="AI417" s="4" t="s">
        <v>175</v>
      </c>
      <c r="AJ417" s="4">
        <v>16.05</v>
      </c>
      <c r="AK417" s="4" t="s">
        <v>180</v>
      </c>
    </row>
    <row r="418" spans="1:37" x14ac:dyDescent="0.2">
      <c r="A418" s="34">
        <v>16</v>
      </c>
      <c r="B418" s="12" t="s">
        <v>20</v>
      </c>
      <c r="C418" s="4" t="s">
        <v>173</v>
      </c>
      <c r="D418" s="4">
        <v>2</v>
      </c>
      <c r="E418" s="4" t="s">
        <v>173</v>
      </c>
      <c r="F418" s="4">
        <v>10.35</v>
      </c>
      <c r="G418" s="4">
        <v>3530</v>
      </c>
      <c r="J418" s="4">
        <v>2</v>
      </c>
      <c r="K418" s="4" t="s">
        <v>173</v>
      </c>
      <c r="L418" s="4">
        <v>19.63</v>
      </c>
      <c r="M418" s="4">
        <v>3815</v>
      </c>
      <c r="P418" s="4">
        <v>2</v>
      </c>
      <c r="Q418" s="4" t="s">
        <v>173</v>
      </c>
      <c r="R418" s="4">
        <v>8.99</v>
      </c>
      <c r="S418" s="4">
        <v>2030</v>
      </c>
      <c r="V418" s="4">
        <v>2</v>
      </c>
      <c r="W418" s="4" t="s">
        <v>173</v>
      </c>
      <c r="X418" s="4">
        <v>10.73</v>
      </c>
      <c r="Y418" s="4">
        <v>1818</v>
      </c>
      <c r="AB418" s="4">
        <v>2</v>
      </c>
      <c r="AC418" s="4" t="s">
        <v>173</v>
      </c>
      <c r="AD418" s="4">
        <v>6.02</v>
      </c>
      <c r="AE418" s="4">
        <v>2277</v>
      </c>
      <c r="AH418" s="4">
        <v>2</v>
      </c>
      <c r="AI418" s="4" t="s">
        <v>175</v>
      </c>
      <c r="AJ418" s="4">
        <v>16.96</v>
      </c>
      <c r="AK418" s="4" t="s">
        <v>180</v>
      </c>
    </row>
  </sheetData>
  <mergeCells count="30">
    <mergeCell ref="AH185:AK185"/>
    <mergeCell ref="AH3:AK3"/>
    <mergeCell ref="D59:G59"/>
    <mergeCell ref="J59:M59"/>
    <mergeCell ref="P59:S59"/>
    <mergeCell ref="V59:Y59"/>
    <mergeCell ref="AB59:AE59"/>
    <mergeCell ref="AH59:AK59"/>
    <mergeCell ref="D3:G3"/>
    <mergeCell ref="J3:M3"/>
    <mergeCell ref="P3:S3"/>
    <mergeCell ref="V3:Y3"/>
    <mergeCell ref="AB3:AE3"/>
    <mergeCell ref="D185:G185"/>
    <mergeCell ref="J185:M185"/>
    <mergeCell ref="P185:S185"/>
    <mergeCell ref="V185:Y185"/>
    <mergeCell ref="AB185:AE185"/>
    <mergeCell ref="AH385:AK385"/>
    <mergeCell ref="D231:G231"/>
    <mergeCell ref="J231:M231"/>
    <mergeCell ref="P231:S231"/>
    <mergeCell ref="V231:Y231"/>
    <mergeCell ref="AB231:AE231"/>
    <mergeCell ref="AH231:AK231"/>
    <mergeCell ref="D385:G385"/>
    <mergeCell ref="J385:M385"/>
    <mergeCell ref="P385:S385"/>
    <mergeCell ref="V385:Y385"/>
    <mergeCell ref="AB385:AE385"/>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A1A0-3D8E-4D45-B8CD-96C9BCCDF267}">
  <dimension ref="A1:N64"/>
  <sheetViews>
    <sheetView zoomScaleNormal="100" workbookViewId="0">
      <selection activeCell="A4" sqref="A4:F4"/>
    </sheetView>
  </sheetViews>
  <sheetFormatPr baseColWidth="10" defaultRowHeight="16" x14ac:dyDescent="0.2"/>
  <cols>
    <col min="1" max="1" width="10.83203125" style="4"/>
    <col min="2" max="2" width="13.5" style="4" customWidth="1"/>
    <col min="3" max="3" width="15.1640625" style="4" customWidth="1"/>
    <col min="4" max="12" width="10.83203125" style="4"/>
    <col min="13" max="13" width="14.33203125" style="4" customWidth="1"/>
    <col min="14" max="14" width="10.83203125" style="4"/>
    <col min="15" max="15" width="14.5" style="4" customWidth="1"/>
    <col min="16" max="16384" width="10.83203125" style="4"/>
  </cols>
  <sheetData>
    <row r="1" spans="1:14" s="4" customFormat="1" x14ac:dyDescent="0.2">
      <c r="A1" s="4" t="s">
        <v>256</v>
      </c>
    </row>
    <row r="2" spans="1:14" s="4" customFormat="1" x14ac:dyDescent="0.2">
      <c r="A2" s="4" t="s">
        <v>257</v>
      </c>
    </row>
    <row r="3" spans="1:14" s="4" customFormat="1" x14ac:dyDescent="0.2">
      <c r="D3" s="37" t="s">
        <v>259</v>
      </c>
      <c r="E3" s="38"/>
      <c r="F3" s="39"/>
      <c r="G3" s="40"/>
      <c r="H3" s="29"/>
      <c r="I3" s="37" t="s">
        <v>261</v>
      </c>
      <c r="J3" s="38"/>
      <c r="K3" s="39"/>
      <c r="L3" s="40"/>
      <c r="N3" s="25"/>
    </row>
    <row r="4" spans="1:14" s="4" customFormat="1" ht="34" x14ac:dyDescent="0.2">
      <c r="A4" s="25" t="s">
        <v>149</v>
      </c>
      <c r="B4" s="25" t="s">
        <v>216</v>
      </c>
      <c r="C4" s="25" t="s">
        <v>262</v>
      </c>
      <c r="D4" s="25" t="s">
        <v>219</v>
      </c>
      <c r="E4" s="29" t="s">
        <v>260</v>
      </c>
      <c r="F4" s="29" t="s">
        <v>155</v>
      </c>
      <c r="G4" s="25"/>
      <c r="I4" s="25" t="s">
        <v>219</v>
      </c>
      <c r="J4" s="29" t="s">
        <v>260</v>
      </c>
      <c r="K4" s="29" t="s">
        <v>155</v>
      </c>
      <c r="M4" s="25" t="s">
        <v>258</v>
      </c>
      <c r="N4" s="5"/>
    </row>
    <row r="5" spans="1:14" s="4" customFormat="1" x14ac:dyDescent="0.2">
      <c r="A5" s="13">
        <v>1</v>
      </c>
      <c r="B5" s="5" t="s">
        <v>220</v>
      </c>
      <c r="C5" s="12" t="s">
        <v>35</v>
      </c>
      <c r="D5" s="4">
        <v>1</v>
      </c>
      <c r="E5" s="4">
        <v>1</v>
      </c>
      <c r="F5" s="4" t="s">
        <v>180</v>
      </c>
      <c r="I5" s="4">
        <v>1</v>
      </c>
      <c r="J5" s="12">
        <v>0.9</v>
      </c>
      <c r="K5" s="4">
        <v>336</v>
      </c>
      <c r="M5" s="12" t="s">
        <v>7</v>
      </c>
    </row>
    <row r="6" spans="1:14" s="4" customFormat="1" x14ac:dyDescent="0.2">
      <c r="A6" s="13">
        <v>2</v>
      </c>
      <c r="B6" s="5" t="s">
        <v>220</v>
      </c>
      <c r="C6" s="12" t="s">
        <v>35</v>
      </c>
      <c r="D6" s="4">
        <v>1</v>
      </c>
      <c r="E6" s="4">
        <v>1</v>
      </c>
      <c r="F6" s="4">
        <v>235</v>
      </c>
      <c r="I6" s="4">
        <v>1</v>
      </c>
      <c r="J6" s="12">
        <v>1</v>
      </c>
      <c r="K6" s="4">
        <v>242</v>
      </c>
      <c r="M6" s="12" t="s">
        <v>9</v>
      </c>
    </row>
    <row r="7" spans="1:14" s="4" customFormat="1" x14ac:dyDescent="0.2">
      <c r="A7" s="13">
        <v>3</v>
      </c>
      <c r="B7" s="5" t="s">
        <v>220</v>
      </c>
      <c r="C7" s="12" t="s">
        <v>35</v>
      </c>
      <c r="D7" s="4">
        <v>1</v>
      </c>
      <c r="E7" s="4">
        <v>1</v>
      </c>
      <c r="F7" s="4">
        <v>288</v>
      </c>
      <c r="I7" s="4">
        <v>1</v>
      </c>
      <c r="J7" s="12">
        <v>0</v>
      </c>
      <c r="K7" s="4">
        <v>165</v>
      </c>
      <c r="M7" s="12" t="s">
        <v>267</v>
      </c>
    </row>
    <row r="8" spans="1:14" s="4" customFormat="1" x14ac:dyDescent="0.2">
      <c r="A8" s="13">
        <v>4</v>
      </c>
      <c r="B8" s="5" t="s">
        <v>220</v>
      </c>
      <c r="C8" s="5" t="s">
        <v>263</v>
      </c>
      <c r="D8" s="4">
        <v>1</v>
      </c>
      <c r="E8" s="4">
        <v>1</v>
      </c>
      <c r="F8" s="12">
        <v>196</v>
      </c>
      <c r="I8" s="4">
        <v>1</v>
      </c>
      <c r="J8" s="12">
        <v>1</v>
      </c>
      <c r="K8" s="4">
        <v>191</v>
      </c>
      <c r="M8" s="12" t="s">
        <v>33</v>
      </c>
    </row>
    <row r="9" spans="1:14" s="4" customFormat="1" x14ac:dyDescent="0.2">
      <c r="A9" s="13">
        <v>5</v>
      </c>
      <c r="B9" s="5" t="s">
        <v>220</v>
      </c>
      <c r="C9" s="5" t="s">
        <v>263</v>
      </c>
      <c r="D9" s="4">
        <v>1</v>
      </c>
      <c r="E9" s="4">
        <v>1</v>
      </c>
      <c r="F9" s="12">
        <v>279</v>
      </c>
      <c r="I9" s="4">
        <v>1</v>
      </c>
      <c r="J9" s="12">
        <v>1</v>
      </c>
      <c r="K9" s="4">
        <v>306</v>
      </c>
      <c r="M9" s="12" t="s">
        <v>268</v>
      </c>
    </row>
    <row r="10" spans="1:14" s="4" customFormat="1" x14ac:dyDescent="0.2">
      <c r="A10" s="13">
        <v>6</v>
      </c>
      <c r="B10" s="5" t="s">
        <v>220</v>
      </c>
      <c r="C10" s="5" t="s">
        <v>263</v>
      </c>
      <c r="D10" s="4">
        <v>1</v>
      </c>
      <c r="E10" s="4">
        <v>0.28999999999999998</v>
      </c>
      <c r="F10" s="4" t="s">
        <v>180</v>
      </c>
      <c r="I10" s="4">
        <v>1</v>
      </c>
      <c r="J10" s="12">
        <v>1</v>
      </c>
      <c r="K10" s="4">
        <v>515</v>
      </c>
      <c r="M10" s="12" t="s">
        <v>269</v>
      </c>
    </row>
    <row r="11" spans="1:14" s="4" customFormat="1" x14ac:dyDescent="0.2">
      <c r="A11" s="13">
        <v>7</v>
      </c>
      <c r="B11" s="5" t="s">
        <v>220</v>
      </c>
      <c r="C11" s="5" t="s">
        <v>264</v>
      </c>
      <c r="D11" s="4">
        <v>1</v>
      </c>
      <c r="E11" s="4">
        <v>1</v>
      </c>
      <c r="F11" s="4">
        <v>110</v>
      </c>
      <c r="I11" s="4">
        <v>1</v>
      </c>
      <c r="J11" s="12">
        <v>0.4</v>
      </c>
      <c r="K11" s="4">
        <v>141</v>
      </c>
      <c r="M11" s="41" t="s">
        <v>270</v>
      </c>
    </row>
    <row r="12" spans="1:14" s="4" customFormat="1" x14ac:dyDescent="0.2">
      <c r="A12" s="13">
        <v>8</v>
      </c>
      <c r="B12" s="5" t="s">
        <v>220</v>
      </c>
      <c r="C12" s="5" t="s">
        <v>264</v>
      </c>
      <c r="D12" s="4">
        <v>1</v>
      </c>
      <c r="E12" s="4">
        <v>1</v>
      </c>
      <c r="F12" s="4">
        <v>195</v>
      </c>
      <c r="I12" s="4">
        <v>1</v>
      </c>
      <c r="J12" s="12">
        <v>1</v>
      </c>
      <c r="K12" s="4">
        <v>188</v>
      </c>
      <c r="M12" s="41" t="s">
        <v>270</v>
      </c>
    </row>
    <row r="13" spans="1:14" s="4" customFormat="1" x14ac:dyDescent="0.2">
      <c r="A13" s="13">
        <v>9</v>
      </c>
      <c r="B13" s="5" t="s">
        <v>220</v>
      </c>
      <c r="C13" s="5" t="s">
        <v>264</v>
      </c>
      <c r="D13" s="4">
        <v>1</v>
      </c>
      <c r="E13" s="4">
        <v>1</v>
      </c>
      <c r="F13" s="4">
        <v>221</v>
      </c>
      <c r="I13" s="4">
        <v>1</v>
      </c>
      <c r="J13" s="12">
        <v>0.75</v>
      </c>
      <c r="K13" s="4">
        <v>240</v>
      </c>
      <c r="M13" s="41" t="s">
        <v>270</v>
      </c>
    </row>
    <row r="14" spans="1:14" s="4" customFormat="1" x14ac:dyDescent="0.2">
      <c r="A14" s="13">
        <v>10</v>
      </c>
      <c r="B14" s="5" t="s">
        <v>220</v>
      </c>
      <c r="C14" s="5" t="s">
        <v>265</v>
      </c>
      <c r="D14" s="4">
        <v>1</v>
      </c>
      <c r="E14" s="4">
        <v>1</v>
      </c>
      <c r="F14" s="12">
        <v>129</v>
      </c>
      <c r="I14" s="4">
        <v>1</v>
      </c>
      <c r="J14" s="12">
        <v>1</v>
      </c>
      <c r="K14" s="4" t="s">
        <v>180</v>
      </c>
      <c r="M14" s="12" t="s">
        <v>271</v>
      </c>
    </row>
    <row r="15" spans="1:14" s="4" customFormat="1" x14ac:dyDescent="0.2">
      <c r="A15" s="13">
        <v>11</v>
      </c>
      <c r="B15" s="5" t="s">
        <v>220</v>
      </c>
      <c r="C15" s="5" t="s">
        <v>265</v>
      </c>
      <c r="D15" s="4">
        <v>1</v>
      </c>
      <c r="E15" s="4">
        <v>0.5</v>
      </c>
      <c r="F15" s="12">
        <v>89</v>
      </c>
      <c r="I15" s="4">
        <v>1</v>
      </c>
      <c r="J15" s="12">
        <v>1</v>
      </c>
      <c r="K15" s="4" t="s">
        <v>180</v>
      </c>
      <c r="M15" s="12" t="s">
        <v>272</v>
      </c>
    </row>
    <row r="16" spans="1:14" s="4" customFormat="1" x14ac:dyDescent="0.2">
      <c r="A16" s="13">
        <v>12</v>
      </c>
      <c r="B16" s="5" t="s">
        <v>220</v>
      </c>
      <c r="C16" s="5" t="s">
        <v>265</v>
      </c>
      <c r="D16" s="4">
        <v>1</v>
      </c>
      <c r="E16" s="4">
        <v>1</v>
      </c>
      <c r="F16" s="12">
        <v>246</v>
      </c>
      <c r="I16" s="4">
        <v>1</v>
      </c>
      <c r="J16" s="12">
        <v>1</v>
      </c>
      <c r="K16" s="4">
        <v>376</v>
      </c>
      <c r="M16" s="12" t="s">
        <v>273</v>
      </c>
    </row>
    <row r="17" spans="1:13" s="4" customFormat="1" x14ac:dyDescent="0.2">
      <c r="A17" s="13">
        <v>13</v>
      </c>
      <c r="B17" s="5" t="s">
        <v>220</v>
      </c>
      <c r="C17" s="5" t="s">
        <v>266</v>
      </c>
      <c r="D17" s="4">
        <v>1</v>
      </c>
      <c r="E17" s="4">
        <v>1</v>
      </c>
      <c r="F17" s="12">
        <v>193</v>
      </c>
      <c r="I17" s="4">
        <v>1</v>
      </c>
      <c r="J17" s="12">
        <v>0.9</v>
      </c>
      <c r="K17" s="4">
        <v>197</v>
      </c>
      <c r="M17" s="12" t="s">
        <v>274</v>
      </c>
    </row>
    <row r="18" spans="1:13" s="4" customFormat="1" x14ac:dyDescent="0.2">
      <c r="A18" s="13">
        <v>14</v>
      </c>
      <c r="B18" s="5" t="s">
        <v>220</v>
      </c>
      <c r="C18" s="5" t="s">
        <v>266</v>
      </c>
      <c r="D18" s="4">
        <v>1</v>
      </c>
      <c r="E18" s="4">
        <v>1</v>
      </c>
      <c r="F18" s="12">
        <v>183</v>
      </c>
      <c r="I18" s="4">
        <v>1</v>
      </c>
      <c r="J18" s="12">
        <v>0.75</v>
      </c>
      <c r="K18" s="4">
        <v>225</v>
      </c>
      <c r="M18" s="12" t="s">
        <v>275</v>
      </c>
    </row>
    <row r="19" spans="1:13" s="4" customFormat="1" x14ac:dyDescent="0.2">
      <c r="A19" s="13">
        <v>15</v>
      </c>
      <c r="B19" s="5" t="s">
        <v>220</v>
      </c>
      <c r="C19" s="5" t="s">
        <v>266</v>
      </c>
      <c r="D19" s="4">
        <v>1</v>
      </c>
      <c r="E19" s="4">
        <v>1</v>
      </c>
      <c r="F19" s="12">
        <v>317</v>
      </c>
      <c r="I19" s="4">
        <v>1</v>
      </c>
      <c r="J19" s="12">
        <v>1</v>
      </c>
      <c r="K19" s="4">
        <v>362</v>
      </c>
      <c r="M19" s="12" t="s">
        <v>276</v>
      </c>
    </row>
    <row r="20" spans="1:13" s="4" customFormat="1" x14ac:dyDescent="0.2">
      <c r="A20" s="13">
        <v>1</v>
      </c>
      <c r="B20" s="5" t="s">
        <v>221</v>
      </c>
      <c r="C20" s="12" t="s">
        <v>35</v>
      </c>
      <c r="D20" s="4">
        <v>1</v>
      </c>
      <c r="E20" s="4">
        <v>0.6</v>
      </c>
      <c r="F20" s="12">
        <v>220</v>
      </c>
      <c r="I20" s="4">
        <v>1</v>
      </c>
      <c r="J20" s="4">
        <v>0.8</v>
      </c>
      <c r="K20" s="4">
        <v>412</v>
      </c>
    </row>
    <row r="21" spans="1:13" s="4" customFormat="1" x14ac:dyDescent="0.2">
      <c r="A21" s="13">
        <v>2</v>
      </c>
      <c r="B21" s="5" t="s">
        <v>221</v>
      </c>
      <c r="C21" s="12" t="s">
        <v>35</v>
      </c>
      <c r="D21" s="4">
        <v>1</v>
      </c>
      <c r="E21" s="4">
        <v>1</v>
      </c>
      <c r="F21" s="12">
        <v>249</v>
      </c>
      <c r="I21" s="4">
        <v>1</v>
      </c>
      <c r="J21" s="4">
        <v>0.9</v>
      </c>
      <c r="K21" s="4">
        <v>261</v>
      </c>
    </row>
    <row r="22" spans="1:13" s="4" customFormat="1" x14ac:dyDescent="0.2">
      <c r="A22" s="13">
        <v>3</v>
      </c>
      <c r="B22" s="5" t="s">
        <v>221</v>
      </c>
      <c r="C22" s="12" t="s">
        <v>35</v>
      </c>
      <c r="D22" s="4">
        <v>1</v>
      </c>
      <c r="E22" s="4">
        <v>1</v>
      </c>
      <c r="F22" s="12">
        <v>165</v>
      </c>
      <c r="I22" s="4">
        <v>1</v>
      </c>
      <c r="J22" s="4">
        <v>1</v>
      </c>
      <c r="K22" s="4">
        <v>243</v>
      </c>
    </row>
    <row r="23" spans="1:13" s="4" customFormat="1" x14ac:dyDescent="0.2">
      <c r="A23" s="13">
        <v>4</v>
      </c>
      <c r="B23" s="5" t="s">
        <v>221</v>
      </c>
      <c r="C23" s="5" t="s">
        <v>263</v>
      </c>
      <c r="D23" s="4">
        <v>1</v>
      </c>
      <c r="E23" s="4">
        <v>1</v>
      </c>
      <c r="F23" s="12">
        <v>182</v>
      </c>
      <c r="I23" s="4">
        <v>1</v>
      </c>
      <c r="J23" s="4">
        <v>1</v>
      </c>
      <c r="K23" s="4">
        <v>238</v>
      </c>
    </row>
    <row r="24" spans="1:13" s="4" customFormat="1" x14ac:dyDescent="0.2">
      <c r="A24" s="13">
        <v>5</v>
      </c>
      <c r="B24" s="5" t="s">
        <v>221</v>
      </c>
      <c r="C24" s="5" t="s">
        <v>263</v>
      </c>
      <c r="D24" s="4">
        <v>1</v>
      </c>
      <c r="E24" s="4">
        <v>0.625</v>
      </c>
      <c r="F24" s="12">
        <v>240</v>
      </c>
      <c r="I24" s="4">
        <v>1</v>
      </c>
      <c r="J24" s="4">
        <v>1</v>
      </c>
      <c r="K24" s="4">
        <v>307</v>
      </c>
    </row>
    <row r="25" spans="1:13" s="4" customFormat="1" x14ac:dyDescent="0.2">
      <c r="A25" s="13">
        <v>6</v>
      </c>
      <c r="B25" s="5" t="s">
        <v>221</v>
      </c>
      <c r="C25" s="5" t="s">
        <v>263</v>
      </c>
      <c r="D25" s="4">
        <v>1</v>
      </c>
      <c r="E25" s="4">
        <v>0.28999999999999998</v>
      </c>
      <c r="F25" s="12">
        <v>240</v>
      </c>
      <c r="I25" s="4">
        <v>1</v>
      </c>
      <c r="J25" s="42">
        <v>0.79</v>
      </c>
      <c r="K25" s="4">
        <v>424</v>
      </c>
    </row>
    <row r="26" spans="1:13" s="4" customFormat="1" x14ac:dyDescent="0.2">
      <c r="A26" s="13">
        <v>7</v>
      </c>
      <c r="B26" s="5" t="s">
        <v>221</v>
      </c>
      <c r="C26" s="5" t="s">
        <v>264</v>
      </c>
      <c r="D26" s="4">
        <v>1</v>
      </c>
      <c r="E26" s="4">
        <v>0.5</v>
      </c>
      <c r="F26" s="12">
        <v>127</v>
      </c>
      <c r="I26" s="4">
        <v>1</v>
      </c>
      <c r="J26" s="4">
        <v>1</v>
      </c>
      <c r="K26" s="4">
        <v>96</v>
      </c>
    </row>
    <row r="27" spans="1:13" s="4" customFormat="1" x14ac:dyDescent="0.2">
      <c r="A27" s="13">
        <v>8</v>
      </c>
      <c r="B27" s="5" t="s">
        <v>221</v>
      </c>
      <c r="C27" s="5" t="s">
        <v>264</v>
      </c>
      <c r="D27" s="4">
        <v>1</v>
      </c>
      <c r="E27" s="4">
        <v>1</v>
      </c>
      <c r="F27" s="12">
        <v>166</v>
      </c>
      <c r="I27" s="4">
        <v>1</v>
      </c>
      <c r="J27" s="4">
        <v>0.5</v>
      </c>
      <c r="K27" s="4">
        <v>118</v>
      </c>
    </row>
    <row r="28" spans="1:13" s="4" customFormat="1" x14ac:dyDescent="0.2">
      <c r="A28" s="13">
        <v>9</v>
      </c>
      <c r="B28" s="5" t="s">
        <v>221</v>
      </c>
      <c r="C28" s="5" t="s">
        <v>264</v>
      </c>
      <c r="D28" s="4">
        <v>1</v>
      </c>
      <c r="E28" s="4">
        <v>0.75</v>
      </c>
      <c r="F28" s="12">
        <v>269</v>
      </c>
      <c r="I28" s="4">
        <v>1</v>
      </c>
      <c r="J28" s="4">
        <v>0.75</v>
      </c>
      <c r="K28" s="4">
        <v>212</v>
      </c>
    </row>
    <row r="29" spans="1:13" s="4" customFormat="1" x14ac:dyDescent="0.2">
      <c r="A29" s="13">
        <v>10</v>
      </c>
      <c r="B29" s="5" t="s">
        <v>221</v>
      </c>
      <c r="C29" s="5" t="s">
        <v>265</v>
      </c>
      <c r="D29" s="4">
        <v>1</v>
      </c>
      <c r="E29" s="4">
        <v>0.5</v>
      </c>
      <c r="F29" s="12">
        <v>134</v>
      </c>
      <c r="I29" s="4">
        <v>1</v>
      </c>
      <c r="J29" s="4">
        <v>1</v>
      </c>
      <c r="K29" s="4">
        <v>138</v>
      </c>
    </row>
    <row r="30" spans="1:13" s="4" customFormat="1" x14ac:dyDescent="0.2">
      <c r="A30" s="13">
        <v>11</v>
      </c>
      <c r="B30" s="5" t="s">
        <v>221</v>
      </c>
      <c r="C30" s="5" t="s">
        <v>265</v>
      </c>
      <c r="D30" s="4">
        <v>1</v>
      </c>
      <c r="E30" s="4">
        <v>1</v>
      </c>
      <c r="F30" s="12">
        <v>137</v>
      </c>
      <c r="I30" s="4">
        <v>1</v>
      </c>
      <c r="J30" s="4">
        <v>0.5</v>
      </c>
      <c r="K30" s="4">
        <v>249</v>
      </c>
    </row>
    <row r="31" spans="1:13" s="4" customFormat="1" x14ac:dyDescent="0.2">
      <c r="A31" s="13">
        <v>12</v>
      </c>
      <c r="B31" s="5" t="s">
        <v>221</v>
      </c>
      <c r="C31" s="5" t="s">
        <v>265</v>
      </c>
      <c r="D31" s="4">
        <v>1</v>
      </c>
      <c r="E31" s="4">
        <v>0.75</v>
      </c>
      <c r="F31" s="12">
        <v>199</v>
      </c>
      <c r="I31" s="4">
        <v>1</v>
      </c>
      <c r="J31" s="4">
        <v>1</v>
      </c>
      <c r="K31" s="4">
        <v>284</v>
      </c>
    </row>
    <row r="32" spans="1:13" s="4" customFormat="1" x14ac:dyDescent="0.2">
      <c r="A32" s="13">
        <v>13</v>
      </c>
      <c r="B32" s="5" t="s">
        <v>221</v>
      </c>
      <c r="C32" s="5" t="s">
        <v>266</v>
      </c>
      <c r="D32" s="4">
        <v>1</v>
      </c>
      <c r="E32" s="4">
        <v>1</v>
      </c>
      <c r="F32" s="12">
        <v>180</v>
      </c>
      <c r="I32" s="4">
        <v>1</v>
      </c>
      <c r="J32" s="4">
        <v>0.5</v>
      </c>
      <c r="K32" s="4">
        <v>132</v>
      </c>
    </row>
    <row r="33" spans="1:11" s="4" customFormat="1" x14ac:dyDescent="0.2">
      <c r="A33" s="13">
        <v>14</v>
      </c>
      <c r="B33" s="5" t="s">
        <v>221</v>
      </c>
      <c r="C33" s="5" t="s">
        <v>266</v>
      </c>
      <c r="D33" s="4">
        <v>1</v>
      </c>
      <c r="E33" s="4">
        <v>1</v>
      </c>
      <c r="F33" s="12">
        <v>189</v>
      </c>
      <c r="I33" s="4">
        <v>1</v>
      </c>
      <c r="J33" s="4">
        <v>0</v>
      </c>
      <c r="K33" s="4" t="s">
        <v>180</v>
      </c>
    </row>
    <row r="34" spans="1:11" s="4" customFormat="1" x14ac:dyDescent="0.2">
      <c r="A34" s="13">
        <v>15</v>
      </c>
      <c r="B34" s="5" t="s">
        <v>221</v>
      </c>
      <c r="C34" s="5" t="s">
        <v>266</v>
      </c>
      <c r="D34" s="4">
        <v>1</v>
      </c>
      <c r="E34" s="4">
        <v>1</v>
      </c>
      <c r="F34" s="12">
        <v>306</v>
      </c>
      <c r="I34" s="4">
        <v>1</v>
      </c>
      <c r="J34" s="4">
        <v>0.25</v>
      </c>
      <c r="K34" s="4">
        <v>133</v>
      </c>
    </row>
    <row r="35" spans="1:11" s="4" customFormat="1" x14ac:dyDescent="0.2">
      <c r="A35" s="13">
        <v>1</v>
      </c>
      <c r="B35" s="5" t="s">
        <v>220</v>
      </c>
      <c r="C35" s="12" t="s">
        <v>35</v>
      </c>
      <c r="D35" s="4">
        <v>2</v>
      </c>
      <c r="E35" s="4">
        <v>0.8</v>
      </c>
      <c r="F35" s="4" t="s">
        <v>180</v>
      </c>
      <c r="I35" s="4">
        <v>2</v>
      </c>
      <c r="J35" s="12">
        <v>0.8</v>
      </c>
      <c r="K35" s="12">
        <v>348</v>
      </c>
    </row>
    <row r="36" spans="1:11" s="4" customFormat="1" x14ac:dyDescent="0.2">
      <c r="A36" s="13">
        <v>2</v>
      </c>
      <c r="B36" s="5" t="s">
        <v>220</v>
      </c>
      <c r="C36" s="12" t="s">
        <v>35</v>
      </c>
      <c r="D36" s="4">
        <v>2</v>
      </c>
      <c r="E36" s="4">
        <v>1</v>
      </c>
      <c r="F36" s="12">
        <v>210</v>
      </c>
      <c r="I36" s="4">
        <v>2</v>
      </c>
      <c r="J36" s="12">
        <v>1</v>
      </c>
      <c r="K36" s="12">
        <v>224</v>
      </c>
    </row>
    <row r="37" spans="1:11" s="4" customFormat="1" x14ac:dyDescent="0.2">
      <c r="A37" s="13">
        <v>3</v>
      </c>
      <c r="B37" s="5" t="s">
        <v>220</v>
      </c>
      <c r="C37" s="12" t="s">
        <v>35</v>
      </c>
      <c r="D37" s="4">
        <v>2</v>
      </c>
      <c r="E37" s="4">
        <v>1</v>
      </c>
      <c r="F37" s="12">
        <v>245</v>
      </c>
      <c r="I37" s="4">
        <v>2</v>
      </c>
      <c r="J37" s="12">
        <v>0.25</v>
      </c>
      <c r="K37" s="12">
        <v>118</v>
      </c>
    </row>
    <row r="38" spans="1:11" s="4" customFormat="1" x14ac:dyDescent="0.2">
      <c r="A38" s="13">
        <v>4</v>
      </c>
      <c r="B38" s="5" t="s">
        <v>220</v>
      </c>
      <c r="C38" s="5" t="s">
        <v>263</v>
      </c>
      <c r="D38" s="4">
        <v>2</v>
      </c>
      <c r="E38" s="4">
        <v>1</v>
      </c>
      <c r="F38" s="12">
        <v>163</v>
      </c>
      <c r="I38" s="4">
        <v>2</v>
      </c>
      <c r="J38" s="12">
        <v>1</v>
      </c>
      <c r="K38" s="12">
        <v>246</v>
      </c>
    </row>
    <row r="39" spans="1:11" s="4" customFormat="1" x14ac:dyDescent="0.2">
      <c r="A39" s="13">
        <v>5</v>
      </c>
      <c r="B39" s="5" t="s">
        <v>220</v>
      </c>
      <c r="C39" s="5" t="s">
        <v>263</v>
      </c>
      <c r="D39" s="4">
        <v>2</v>
      </c>
      <c r="E39" s="4">
        <v>1</v>
      </c>
      <c r="F39" s="12">
        <v>258</v>
      </c>
      <c r="I39" s="4">
        <v>2</v>
      </c>
      <c r="J39" s="12">
        <v>1</v>
      </c>
      <c r="K39" s="12">
        <v>280</v>
      </c>
    </row>
    <row r="40" spans="1:11" s="4" customFormat="1" x14ac:dyDescent="0.2">
      <c r="A40" s="13">
        <v>6</v>
      </c>
      <c r="B40" s="5" t="s">
        <v>220</v>
      </c>
      <c r="C40" s="5" t="s">
        <v>263</v>
      </c>
      <c r="D40" s="4">
        <v>2</v>
      </c>
      <c r="E40" s="4">
        <v>0.93</v>
      </c>
      <c r="F40" s="12">
        <v>466</v>
      </c>
      <c r="I40" s="4">
        <v>2</v>
      </c>
      <c r="J40" s="12">
        <v>1</v>
      </c>
      <c r="K40" s="12">
        <v>488</v>
      </c>
    </row>
    <row r="41" spans="1:11" s="4" customFormat="1" x14ac:dyDescent="0.2">
      <c r="A41" s="13">
        <v>7</v>
      </c>
      <c r="B41" s="5" t="s">
        <v>220</v>
      </c>
      <c r="C41" s="5" t="s">
        <v>264</v>
      </c>
      <c r="D41" s="4">
        <v>2</v>
      </c>
      <c r="E41" s="4">
        <v>1</v>
      </c>
      <c r="F41" s="12">
        <v>120</v>
      </c>
      <c r="I41" s="4">
        <v>2</v>
      </c>
      <c r="J41" s="12">
        <v>1</v>
      </c>
      <c r="K41" s="12">
        <v>160</v>
      </c>
    </row>
    <row r="42" spans="1:11" s="4" customFormat="1" x14ac:dyDescent="0.2">
      <c r="A42" s="13">
        <v>8</v>
      </c>
      <c r="B42" s="5" t="s">
        <v>220</v>
      </c>
      <c r="C42" s="5" t="s">
        <v>264</v>
      </c>
      <c r="D42" s="4">
        <v>2</v>
      </c>
      <c r="E42" s="4">
        <v>1</v>
      </c>
      <c r="F42" s="12">
        <v>173</v>
      </c>
      <c r="I42" s="4">
        <v>2</v>
      </c>
      <c r="J42" s="12">
        <v>0.5</v>
      </c>
      <c r="K42" s="12">
        <v>272</v>
      </c>
    </row>
    <row r="43" spans="1:11" s="4" customFormat="1" x14ac:dyDescent="0.2">
      <c r="A43" s="13">
        <v>9</v>
      </c>
      <c r="B43" s="5" t="s">
        <v>220</v>
      </c>
      <c r="C43" s="5" t="s">
        <v>264</v>
      </c>
      <c r="D43" s="4">
        <v>2</v>
      </c>
      <c r="E43" s="4">
        <v>0.75</v>
      </c>
      <c r="F43" s="12">
        <v>201</v>
      </c>
      <c r="I43" s="4">
        <v>2</v>
      </c>
      <c r="J43" s="12">
        <v>0.75</v>
      </c>
      <c r="K43" s="12">
        <v>380</v>
      </c>
    </row>
    <row r="44" spans="1:11" s="4" customFormat="1" x14ac:dyDescent="0.2">
      <c r="A44" s="13">
        <v>10</v>
      </c>
      <c r="B44" s="5" t="s">
        <v>220</v>
      </c>
      <c r="C44" s="5" t="s">
        <v>265</v>
      </c>
      <c r="D44" s="4">
        <v>2</v>
      </c>
      <c r="E44" s="4">
        <v>1</v>
      </c>
      <c r="F44" s="12">
        <v>101</v>
      </c>
      <c r="I44" s="4">
        <v>2</v>
      </c>
      <c r="J44" s="12">
        <v>0.5</v>
      </c>
      <c r="K44" s="4" t="s">
        <v>180</v>
      </c>
    </row>
    <row r="45" spans="1:11" s="4" customFormat="1" x14ac:dyDescent="0.2">
      <c r="A45" s="13">
        <v>11</v>
      </c>
      <c r="B45" s="5" t="s">
        <v>220</v>
      </c>
      <c r="C45" s="5" t="s">
        <v>265</v>
      </c>
      <c r="D45" s="4">
        <v>2</v>
      </c>
      <c r="E45" s="4">
        <v>0.5</v>
      </c>
      <c r="F45" s="12">
        <v>112</v>
      </c>
      <c r="I45" s="4">
        <v>2</v>
      </c>
      <c r="J45" s="12">
        <v>1</v>
      </c>
      <c r="K45" s="12">
        <v>190</v>
      </c>
    </row>
    <row r="46" spans="1:11" s="4" customFormat="1" x14ac:dyDescent="0.2">
      <c r="A46" s="13">
        <v>12</v>
      </c>
      <c r="B46" s="5" t="s">
        <v>220</v>
      </c>
      <c r="C46" s="5" t="s">
        <v>265</v>
      </c>
      <c r="D46" s="4">
        <v>2</v>
      </c>
      <c r="E46" s="4">
        <v>0.25</v>
      </c>
      <c r="F46" s="12">
        <v>150</v>
      </c>
      <c r="I46" s="4">
        <v>2</v>
      </c>
      <c r="J46" s="12">
        <v>1</v>
      </c>
      <c r="K46" s="12">
        <v>387</v>
      </c>
    </row>
    <row r="47" spans="1:11" s="4" customFormat="1" x14ac:dyDescent="0.2">
      <c r="A47" s="13">
        <v>13</v>
      </c>
      <c r="B47" s="5" t="s">
        <v>220</v>
      </c>
      <c r="C47" s="5" t="s">
        <v>266</v>
      </c>
      <c r="D47" s="4">
        <v>2</v>
      </c>
      <c r="E47" s="4">
        <v>1</v>
      </c>
      <c r="F47" s="12">
        <v>184</v>
      </c>
      <c r="I47" s="4">
        <v>2</v>
      </c>
      <c r="J47" s="12">
        <v>1</v>
      </c>
      <c r="K47" s="12">
        <v>163</v>
      </c>
    </row>
    <row r="48" spans="1:11" s="4" customFormat="1" x14ac:dyDescent="0.2">
      <c r="A48" s="13">
        <v>14</v>
      </c>
      <c r="B48" s="5" t="s">
        <v>220</v>
      </c>
      <c r="C48" s="5" t="s">
        <v>266</v>
      </c>
      <c r="D48" s="4">
        <v>2</v>
      </c>
      <c r="E48" s="4">
        <v>1</v>
      </c>
      <c r="F48" s="12">
        <v>182</v>
      </c>
      <c r="I48" s="4">
        <v>2</v>
      </c>
      <c r="J48" s="12">
        <v>0.75</v>
      </c>
      <c r="K48" s="12">
        <v>209</v>
      </c>
    </row>
    <row r="49" spans="1:11" s="4" customFormat="1" x14ac:dyDescent="0.2">
      <c r="A49" s="13">
        <v>15</v>
      </c>
      <c r="B49" s="5" t="s">
        <v>220</v>
      </c>
      <c r="C49" s="5" t="s">
        <v>266</v>
      </c>
      <c r="D49" s="4">
        <v>2</v>
      </c>
      <c r="E49" s="4">
        <v>1</v>
      </c>
      <c r="F49" s="12">
        <v>318</v>
      </c>
      <c r="I49" s="4">
        <v>2</v>
      </c>
      <c r="J49" s="12">
        <v>1</v>
      </c>
      <c r="K49" s="12">
        <v>352</v>
      </c>
    </row>
    <row r="50" spans="1:11" s="4" customFormat="1" x14ac:dyDescent="0.2">
      <c r="A50" s="13">
        <v>1</v>
      </c>
      <c r="B50" s="5" t="s">
        <v>221</v>
      </c>
      <c r="C50" s="12" t="s">
        <v>35</v>
      </c>
      <c r="D50" s="4">
        <v>2</v>
      </c>
      <c r="E50" s="12">
        <v>0.9</v>
      </c>
      <c r="F50" s="12">
        <v>336</v>
      </c>
      <c r="I50" s="4">
        <v>2</v>
      </c>
      <c r="J50" s="12">
        <v>0.9</v>
      </c>
      <c r="K50" s="12">
        <v>443</v>
      </c>
    </row>
    <row r="51" spans="1:11" s="4" customFormat="1" x14ac:dyDescent="0.2">
      <c r="A51" s="13">
        <v>2</v>
      </c>
      <c r="B51" s="5" t="s">
        <v>221</v>
      </c>
      <c r="C51" s="12" t="s">
        <v>35</v>
      </c>
      <c r="D51" s="4">
        <v>2</v>
      </c>
      <c r="E51" s="12">
        <v>0.67</v>
      </c>
      <c r="F51" s="12">
        <v>259</v>
      </c>
      <c r="I51" s="4">
        <v>2</v>
      </c>
      <c r="J51" s="12">
        <v>0.83</v>
      </c>
      <c r="K51" s="12">
        <v>276</v>
      </c>
    </row>
    <row r="52" spans="1:11" s="4" customFormat="1" x14ac:dyDescent="0.2">
      <c r="A52" s="13">
        <v>3</v>
      </c>
      <c r="B52" s="5" t="s">
        <v>221</v>
      </c>
      <c r="C52" s="12" t="s">
        <v>35</v>
      </c>
      <c r="D52" s="4">
        <v>2</v>
      </c>
      <c r="E52" s="12">
        <v>0.75</v>
      </c>
      <c r="F52" s="12">
        <v>171</v>
      </c>
      <c r="I52" s="4">
        <v>2</v>
      </c>
      <c r="J52" s="12">
        <v>1</v>
      </c>
      <c r="K52" s="12">
        <v>218</v>
      </c>
    </row>
    <row r="53" spans="1:11" s="4" customFormat="1" x14ac:dyDescent="0.2">
      <c r="A53" s="13">
        <v>4</v>
      </c>
      <c r="B53" s="5" t="s">
        <v>221</v>
      </c>
      <c r="C53" s="5" t="s">
        <v>263</v>
      </c>
      <c r="D53" s="4">
        <v>2</v>
      </c>
      <c r="E53" s="12">
        <v>1</v>
      </c>
      <c r="F53" s="12">
        <v>176</v>
      </c>
      <c r="I53" s="4">
        <v>2</v>
      </c>
      <c r="J53" s="12">
        <v>1</v>
      </c>
      <c r="K53" s="12">
        <v>196</v>
      </c>
    </row>
    <row r="54" spans="1:11" s="4" customFormat="1" x14ac:dyDescent="0.2">
      <c r="A54" s="13">
        <v>5</v>
      </c>
      <c r="B54" s="5" t="s">
        <v>221</v>
      </c>
      <c r="C54" s="5" t="s">
        <v>263</v>
      </c>
      <c r="D54" s="4">
        <v>2</v>
      </c>
      <c r="E54" s="12">
        <v>1</v>
      </c>
      <c r="F54" s="12">
        <v>285</v>
      </c>
      <c r="I54" s="4">
        <v>2</v>
      </c>
      <c r="J54" s="12">
        <v>1</v>
      </c>
      <c r="K54" s="12">
        <v>286</v>
      </c>
    </row>
    <row r="55" spans="1:11" s="4" customFormat="1" x14ac:dyDescent="0.2">
      <c r="A55" s="13">
        <v>6</v>
      </c>
      <c r="B55" s="5" t="s">
        <v>221</v>
      </c>
      <c r="C55" s="5" t="s">
        <v>263</v>
      </c>
      <c r="D55" s="4">
        <v>2</v>
      </c>
      <c r="E55" s="43">
        <v>0.9285714285714286</v>
      </c>
      <c r="F55" s="12">
        <v>433</v>
      </c>
      <c r="I55" s="4">
        <v>2</v>
      </c>
      <c r="J55" s="43">
        <v>0.6428571428571429</v>
      </c>
      <c r="K55" s="12">
        <v>382</v>
      </c>
    </row>
    <row r="56" spans="1:11" s="4" customFormat="1" x14ac:dyDescent="0.2">
      <c r="A56" s="13">
        <v>7</v>
      </c>
      <c r="B56" s="5" t="s">
        <v>221</v>
      </c>
      <c r="C56" s="5" t="s">
        <v>264</v>
      </c>
      <c r="D56" s="4">
        <v>2</v>
      </c>
      <c r="E56" s="12">
        <v>0.5</v>
      </c>
      <c r="F56" s="12">
        <v>152</v>
      </c>
      <c r="I56" s="4">
        <v>2</v>
      </c>
      <c r="J56" s="12">
        <v>0.9</v>
      </c>
      <c r="K56" s="12">
        <v>162</v>
      </c>
    </row>
    <row r="57" spans="1:11" s="4" customFormat="1" x14ac:dyDescent="0.2">
      <c r="A57" s="13">
        <v>8</v>
      </c>
      <c r="B57" s="5" t="s">
        <v>221</v>
      </c>
      <c r="C57" s="5" t="s">
        <v>264</v>
      </c>
      <c r="D57" s="4">
        <v>2</v>
      </c>
      <c r="E57" s="12">
        <v>1</v>
      </c>
      <c r="F57" s="12">
        <v>169</v>
      </c>
      <c r="I57" s="4">
        <v>2</v>
      </c>
      <c r="J57" s="12">
        <v>1</v>
      </c>
      <c r="K57" s="12">
        <v>161</v>
      </c>
    </row>
    <row r="58" spans="1:11" s="4" customFormat="1" x14ac:dyDescent="0.2">
      <c r="A58" s="13">
        <v>9</v>
      </c>
      <c r="B58" s="5" t="s">
        <v>221</v>
      </c>
      <c r="C58" s="5" t="s">
        <v>264</v>
      </c>
      <c r="D58" s="4">
        <v>2</v>
      </c>
      <c r="E58" s="12">
        <v>0.33</v>
      </c>
      <c r="F58" s="12">
        <v>190</v>
      </c>
      <c r="I58" s="4">
        <v>2</v>
      </c>
      <c r="J58" s="12">
        <v>0.75</v>
      </c>
      <c r="K58" s="12">
        <v>218</v>
      </c>
    </row>
    <row r="59" spans="1:11" s="4" customFormat="1" x14ac:dyDescent="0.2">
      <c r="A59" s="13">
        <v>10</v>
      </c>
      <c r="B59" s="5" t="s">
        <v>221</v>
      </c>
      <c r="C59" s="5" t="s">
        <v>265</v>
      </c>
      <c r="D59" s="4">
        <v>2</v>
      </c>
      <c r="E59" s="12">
        <v>1</v>
      </c>
      <c r="F59" s="12">
        <v>121</v>
      </c>
      <c r="I59" s="4">
        <v>2</v>
      </c>
      <c r="J59" s="12">
        <v>0.9</v>
      </c>
      <c r="K59" s="12">
        <v>125</v>
      </c>
    </row>
    <row r="60" spans="1:11" s="4" customFormat="1" x14ac:dyDescent="0.2">
      <c r="A60" s="13">
        <v>11</v>
      </c>
      <c r="B60" s="5" t="s">
        <v>221</v>
      </c>
      <c r="C60" s="5" t="s">
        <v>265</v>
      </c>
      <c r="D60" s="4">
        <v>2</v>
      </c>
      <c r="E60" s="12">
        <v>0.5</v>
      </c>
      <c r="F60" s="12">
        <v>97</v>
      </c>
      <c r="I60" s="4">
        <v>2</v>
      </c>
      <c r="J60" s="12">
        <v>1</v>
      </c>
      <c r="K60" s="12">
        <v>116</v>
      </c>
    </row>
    <row r="61" spans="1:11" s="4" customFormat="1" x14ac:dyDescent="0.2">
      <c r="A61" s="13">
        <v>12</v>
      </c>
      <c r="B61" s="5" t="s">
        <v>221</v>
      </c>
      <c r="C61" s="5" t="s">
        <v>265</v>
      </c>
      <c r="D61" s="4">
        <v>2</v>
      </c>
      <c r="E61" s="12">
        <v>1</v>
      </c>
      <c r="F61" s="12">
        <v>252</v>
      </c>
      <c r="I61" s="4">
        <v>2</v>
      </c>
      <c r="J61" s="12">
        <v>0.65</v>
      </c>
      <c r="K61" s="12">
        <v>358</v>
      </c>
    </row>
    <row r="62" spans="1:11" s="4" customFormat="1" x14ac:dyDescent="0.2">
      <c r="A62" s="13">
        <v>13</v>
      </c>
      <c r="B62" s="5" t="s">
        <v>221</v>
      </c>
      <c r="C62" s="5" t="s">
        <v>266</v>
      </c>
      <c r="D62" s="4">
        <v>2</v>
      </c>
      <c r="E62" s="12">
        <v>1</v>
      </c>
      <c r="F62" s="12">
        <v>175</v>
      </c>
      <c r="I62" s="4">
        <v>2</v>
      </c>
      <c r="J62" s="12">
        <v>0.75</v>
      </c>
      <c r="K62" s="12">
        <v>176</v>
      </c>
    </row>
    <row r="63" spans="1:11" s="4" customFormat="1" x14ac:dyDescent="0.2">
      <c r="A63" s="13">
        <v>14</v>
      </c>
      <c r="B63" s="5" t="s">
        <v>221</v>
      </c>
      <c r="C63" s="5" t="s">
        <v>266</v>
      </c>
      <c r="D63" s="4">
        <v>2</v>
      </c>
      <c r="E63" s="12">
        <v>1</v>
      </c>
      <c r="F63" s="12">
        <v>257</v>
      </c>
      <c r="I63" s="4">
        <v>2</v>
      </c>
      <c r="J63" s="12">
        <v>0.75</v>
      </c>
      <c r="K63" s="12">
        <v>219</v>
      </c>
    </row>
    <row r="64" spans="1:11" s="4" customFormat="1" x14ac:dyDescent="0.2">
      <c r="A64" s="13">
        <v>15</v>
      </c>
      <c r="B64" s="5" t="s">
        <v>221</v>
      </c>
      <c r="C64" s="5" t="s">
        <v>266</v>
      </c>
      <c r="D64" s="4">
        <v>2</v>
      </c>
      <c r="E64" s="12">
        <v>0.67500000000000004</v>
      </c>
      <c r="F64" s="12">
        <v>235</v>
      </c>
      <c r="I64" s="4">
        <v>2</v>
      </c>
      <c r="J64" s="12">
        <v>0.875</v>
      </c>
      <c r="K64" s="12">
        <v>357</v>
      </c>
    </row>
  </sheetData>
  <mergeCells count="2">
    <mergeCell ref="D3:F3"/>
    <mergeCell ref="I3:K3"/>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CE97-3435-6E42-A956-54C5B70E747C}">
  <dimension ref="A1:J12"/>
  <sheetViews>
    <sheetView zoomScale="120" zoomScaleNormal="120" workbookViewId="0">
      <selection activeCell="D10" sqref="D10"/>
    </sheetView>
  </sheetViews>
  <sheetFormatPr baseColWidth="10" defaultRowHeight="16" x14ac:dyDescent="0.2"/>
  <cols>
    <col min="1" max="3" width="10.83203125" style="4"/>
    <col min="4" max="4" width="12.83203125" style="4" customWidth="1"/>
    <col min="5" max="16384" width="10.83203125" style="4"/>
  </cols>
  <sheetData>
    <row r="1" spans="1:10" x14ac:dyDescent="0.2">
      <c r="A1" s="4" t="s">
        <v>277</v>
      </c>
    </row>
    <row r="2" spans="1:10" x14ac:dyDescent="0.2">
      <c r="A2" s="4" t="s">
        <v>278</v>
      </c>
    </row>
    <row r="3" spans="1:10" ht="34" x14ac:dyDescent="0.2">
      <c r="A3" s="25" t="s">
        <v>149</v>
      </c>
      <c r="B3" s="25" t="s">
        <v>150</v>
      </c>
      <c r="C3" s="29" t="s">
        <v>260</v>
      </c>
      <c r="D3" s="29" t="s">
        <v>283</v>
      </c>
      <c r="E3" s="29" t="s">
        <v>288</v>
      </c>
      <c r="F3" s="25"/>
      <c r="H3" s="25"/>
      <c r="I3" s="29"/>
      <c r="J3" s="29"/>
    </row>
    <row r="4" spans="1:10" x14ac:dyDescent="0.2">
      <c r="A4" s="25">
        <v>1</v>
      </c>
      <c r="B4" s="4" t="s">
        <v>279</v>
      </c>
      <c r="C4" s="4">
        <v>0.33</v>
      </c>
      <c r="D4" s="47" t="s">
        <v>285</v>
      </c>
      <c r="E4" s="4">
        <v>1.7</v>
      </c>
    </row>
    <row r="5" spans="1:10" x14ac:dyDescent="0.2">
      <c r="A5" s="25">
        <v>2</v>
      </c>
      <c r="B5" s="4" t="s">
        <v>279</v>
      </c>
      <c r="C5" s="4">
        <v>0.66</v>
      </c>
      <c r="D5" s="47" t="s">
        <v>285</v>
      </c>
      <c r="E5" s="4">
        <v>1.7</v>
      </c>
    </row>
    <row r="6" spans="1:10" x14ac:dyDescent="0.2">
      <c r="A6" s="25">
        <v>3</v>
      </c>
      <c r="B6" s="4" t="s">
        <v>279</v>
      </c>
      <c r="C6" s="4">
        <v>0.66</v>
      </c>
      <c r="D6" s="47" t="s">
        <v>284</v>
      </c>
      <c r="E6" s="4">
        <v>1.7</v>
      </c>
    </row>
    <row r="7" spans="1:10" x14ac:dyDescent="0.2">
      <c r="A7" s="25">
        <v>1</v>
      </c>
      <c r="B7" s="46" t="s">
        <v>280</v>
      </c>
      <c r="C7" s="4">
        <v>0.66</v>
      </c>
      <c r="D7" s="47" t="s">
        <v>284</v>
      </c>
      <c r="E7" s="4">
        <v>1.7</v>
      </c>
    </row>
    <row r="8" spans="1:10" x14ac:dyDescent="0.2">
      <c r="A8" s="25">
        <v>2</v>
      </c>
      <c r="B8" s="46" t="s">
        <v>280</v>
      </c>
      <c r="C8" s="4">
        <v>0.66</v>
      </c>
      <c r="D8" s="47" t="s">
        <v>284</v>
      </c>
      <c r="E8" s="4">
        <v>1.7</v>
      </c>
    </row>
    <row r="9" spans="1:10" x14ac:dyDescent="0.2">
      <c r="A9" s="25">
        <v>3</v>
      </c>
      <c r="B9" s="46" t="s">
        <v>280</v>
      </c>
      <c r="C9" s="4">
        <v>0.33</v>
      </c>
      <c r="D9" s="47" t="s">
        <v>284</v>
      </c>
      <c r="E9" s="4">
        <v>1.7</v>
      </c>
    </row>
    <row r="10" spans="1:10" x14ac:dyDescent="0.2">
      <c r="A10" s="25">
        <v>1</v>
      </c>
      <c r="B10" s="46" t="s">
        <v>282</v>
      </c>
      <c r="C10" s="4">
        <v>1</v>
      </c>
      <c r="D10" s="48" t="s">
        <v>287</v>
      </c>
      <c r="E10" s="4">
        <v>3</v>
      </c>
    </row>
    <row r="11" spans="1:10" x14ac:dyDescent="0.2">
      <c r="A11" s="25">
        <v>2</v>
      </c>
      <c r="B11" s="46" t="s">
        <v>282</v>
      </c>
      <c r="C11" s="4">
        <v>1</v>
      </c>
      <c r="D11" s="48" t="s">
        <v>287</v>
      </c>
      <c r="E11" s="4">
        <v>3</v>
      </c>
    </row>
    <row r="12" spans="1:10" x14ac:dyDescent="0.2">
      <c r="A12" s="25">
        <v>3</v>
      </c>
      <c r="B12" s="46" t="s">
        <v>282</v>
      </c>
      <c r="C12" s="45">
        <v>1</v>
      </c>
      <c r="D12" s="48" t="s">
        <v>287</v>
      </c>
      <c r="E12" s="4">
        <v>3</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01FB-EA89-AD4E-B71D-FBAC2640C4BF}">
  <dimension ref="A1:G23"/>
  <sheetViews>
    <sheetView workbookViewId="0">
      <selection activeCell="A2" sqref="A2:G2"/>
    </sheetView>
  </sheetViews>
  <sheetFormatPr baseColWidth="10" defaultRowHeight="16" x14ac:dyDescent="0.2"/>
  <cols>
    <col min="1" max="1" width="10.83203125" style="4"/>
    <col min="2" max="2" width="28.1640625" style="4" customWidth="1"/>
    <col min="3" max="3" width="22.6640625" style="4" customWidth="1"/>
    <col min="4" max="4" width="11.1640625" style="4" bestFit="1" customWidth="1"/>
    <col min="5" max="5" width="10.83203125" style="4"/>
    <col min="6" max="6" width="15.1640625" style="4" customWidth="1"/>
    <col min="7" max="16384" width="10.83203125" style="4"/>
  </cols>
  <sheetData>
    <row r="1" spans="1:7" x14ac:dyDescent="0.2">
      <c r="A1" s="4" t="s">
        <v>289</v>
      </c>
    </row>
    <row r="2" spans="1:7" ht="34" x14ac:dyDescent="0.2">
      <c r="A2" s="25" t="s">
        <v>149</v>
      </c>
      <c r="B2" s="25" t="s">
        <v>262</v>
      </c>
      <c r="C2" s="29" t="s">
        <v>294</v>
      </c>
      <c r="D2" s="29" t="s">
        <v>292</v>
      </c>
      <c r="E2" s="29" t="s">
        <v>155</v>
      </c>
      <c r="G2" s="25" t="s">
        <v>293</v>
      </c>
    </row>
    <row r="3" spans="1:7" x14ac:dyDescent="0.2">
      <c r="A3" s="4">
        <v>1</v>
      </c>
      <c r="B3" s="4" t="s">
        <v>290</v>
      </c>
      <c r="C3" s="4" t="s">
        <v>296</v>
      </c>
      <c r="D3" s="49" t="s">
        <v>49</v>
      </c>
      <c r="E3" s="4">
        <v>175</v>
      </c>
      <c r="G3" s="12" t="s">
        <v>298</v>
      </c>
    </row>
    <row r="4" spans="1:7" x14ac:dyDescent="0.2">
      <c r="A4" s="4">
        <v>2</v>
      </c>
      <c r="B4" s="4" t="s">
        <v>290</v>
      </c>
      <c r="C4" s="4" t="s">
        <v>296</v>
      </c>
      <c r="D4" s="49">
        <v>0.5</v>
      </c>
      <c r="E4" s="4">
        <v>131</v>
      </c>
      <c r="G4" s="12" t="s">
        <v>298</v>
      </c>
    </row>
    <row r="5" spans="1:7" x14ac:dyDescent="0.2">
      <c r="A5" s="4">
        <v>3</v>
      </c>
      <c r="B5" s="4" t="s">
        <v>290</v>
      </c>
      <c r="C5" s="4" t="s">
        <v>296</v>
      </c>
      <c r="D5" s="49">
        <v>0.5</v>
      </c>
      <c r="E5" s="4">
        <v>161</v>
      </c>
      <c r="G5" s="12" t="s">
        <v>299</v>
      </c>
    </row>
    <row r="6" spans="1:7" x14ac:dyDescent="0.2">
      <c r="A6" s="4">
        <v>4</v>
      </c>
      <c r="B6" s="4" t="s">
        <v>290</v>
      </c>
      <c r="C6" s="4" t="s">
        <v>296</v>
      </c>
      <c r="D6" s="49">
        <v>0.5</v>
      </c>
      <c r="E6" s="4">
        <v>95</v>
      </c>
      <c r="G6" s="12" t="s">
        <v>300</v>
      </c>
    </row>
    <row r="7" spans="1:7" x14ac:dyDescent="0.2">
      <c r="A7" s="4">
        <v>5</v>
      </c>
      <c r="B7" s="4" t="s">
        <v>290</v>
      </c>
      <c r="C7" s="4" t="s">
        <v>296</v>
      </c>
      <c r="D7" s="49" t="s">
        <v>49</v>
      </c>
      <c r="E7" s="4">
        <v>170</v>
      </c>
      <c r="G7" s="12" t="s">
        <v>301</v>
      </c>
    </row>
    <row r="8" spans="1:7" x14ac:dyDescent="0.2">
      <c r="A8" s="4">
        <v>6</v>
      </c>
      <c r="B8" s="4" t="s">
        <v>291</v>
      </c>
      <c r="C8" s="4" t="s">
        <v>296</v>
      </c>
      <c r="D8" s="49">
        <v>0.5</v>
      </c>
      <c r="E8" s="4">
        <v>167</v>
      </c>
      <c r="G8" s="12" t="s">
        <v>302</v>
      </c>
    </row>
    <row r="9" spans="1:7" x14ac:dyDescent="0.2">
      <c r="A9" s="4">
        <v>7</v>
      </c>
      <c r="B9" s="4" t="s">
        <v>291</v>
      </c>
      <c r="C9" s="4" t="s">
        <v>296</v>
      </c>
      <c r="D9" s="49">
        <v>0.5</v>
      </c>
      <c r="E9" s="4">
        <v>196</v>
      </c>
      <c r="G9" s="12" t="s">
        <v>302</v>
      </c>
    </row>
    <row r="10" spans="1:7" x14ac:dyDescent="0.2">
      <c r="A10" s="4">
        <v>8</v>
      </c>
      <c r="B10" s="4" t="s">
        <v>291</v>
      </c>
      <c r="C10" s="4" t="s">
        <v>296</v>
      </c>
      <c r="D10" s="49">
        <v>0.5</v>
      </c>
      <c r="E10" s="4">
        <v>168</v>
      </c>
      <c r="G10" s="12" t="s">
        <v>302</v>
      </c>
    </row>
    <row r="11" spans="1:7" x14ac:dyDescent="0.2">
      <c r="A11" s="4">
        <v>9</v>
      </c>
      <c r="B11" s="4" t="s">
        <v>291</v>
      </c>
      <c r="C11" s="4" t="s">
        <v>296</v>
      </c>
      <c r="D11" s="49">
        <v>0.5</v>
      </c>
      <c r="E11" s="4">
        <v>170</v>
      </c>
      <c r="G11" s="12" t="s">
        <v>302</v>
      </c>
    </row>
    <row r="12" spans="1:7" x14ac:dyDescent="0.2">
      <c r="A12" s="4">
        <v>10</v>
      </c>
      <c r="B12" s="4" t="s">
        <v>291</v>
      </c>
      <c r="C12" s="4" t="s">
        <v>296</v>
      </c>
      <c r="D12" s="49">
        <v>0.5</v>
      </c>
      <c r="E12" s="4">
        <v>175</v>
      </c>
      <c r="G12" s="12" t="s">
        <v>302</v>
      </c>
    </row>
    <row r="13" spans="1:7" x14ac:dyDescent="0.2">
      <c r="A13" s="4">
        <v>1</v>
      </c>
      <c r="B13" s="4" t="s">
        <v>290</v>
      </c>
      <c r="C13" s="4" t="s">
        <v>295</v>
      </c>
      <c r="D13" s="50" t="s">
        <v>297</v>
      </c>
      <c r="E13" s="12">
        <v>300</v>
      </c>
      <c r="G13" s="12" t="s">
        <v>303</v>
      </c>
    </row>
    <row r="14" spans="1:7" x14ac:dyDescent="0.2">
      <c r="A14" s="4">
        <v>2</v>
      </c>
      <c r="B14" s="4" t="s">
        <v>290</v>
      </c>
      <c r="C14" s="4" t="s">
        <v>295</v>
      </c>
      <c r="D14" s="50" t="s">
        <v>297</v>
      </c>
      <c r="E14" s="12">
        <v>285</v>
      </c>
      <c r="G14" s="12" t="s">
        <v>50</v>
      </c>
    </row>
    <row r="15" spans="1:7" x14ac:dyDescent="0.2">
      <c r="A15" s="4">
        <v>3</v>
      </c>
      <c r="B15" s="4" t="s">
        <v>290</v>
      </c>
      <c r="C15" s="4" t="s">
        <v>295</v>
      </c>
      <c r="D15" s="49">
        <v>0.5</v>
      </c>
      <c r="E15" s="12">
        <v>253</v>
      </c>
      <c r="G15" s="12" t="s">
        <v>51</v>
      </c>
    </row>
    <row r="16" spans="1:7" x14ac:dyDescent="0.2">
      <c r="A16" s="4">
        <v>4</v>
      </c>
      <c r="B16" s="4" t="s">
        <v>290</v>
      </c>
      <c r="C16" s="4" t="s">
        <v>295</v>
      </c>
      <c r="D16" s="50" t="s">
        <v>297</v>
      </c>
      <c r="E16" s="12">
        <v>303</v>
      </c>
      <c r="G16" s="12" t="s">
        <v>50</v>
      </c>
    </row>
    <row r="17" spans="1:7" x14ac:dyDescent="0.2">
      <c r="A17" s="4">
        <v>5</v>
      </c>
      <c r="B17" s="4" t="s">
        <v>290</v>
      </c>
      <c r="C17" s="4" t="s">
        <v>295</v>
      </c>
      <c r="D17" s="50" t="s">
        <v>297</v>
      </c>
      <c r="E17" s="12">
        <v>235</v>
      </c>
      <c r="G17" s="12" t="s">
        <v>50</v>
      </c>
    </row>
    <row r="18" spans="1:7" x14ac:dyDescent="0.2">
      <c r="A18" s="4">
        <v>6</v>
      </c>
      <c r="B18" s="4" t="s">
        <v>291</v>
      </c>
      <c r="C18" s="4" t="s">
        <v>295</v>
      </c>
      <c r="D18" s="49">
        <v>0.5</v>
      </c>
      <c r="E18" s="12">
        <v>239</v>
      </c>
      <c r="G18" s="12" t="s">
        <v>304</v>
      </c>
    </row>
    <row r="19" spans="1:7" x14ac:dyDescent="0.2">
      <c r="A19" s="4">
        <v>7</v>
      </c>
      <c r="B19" s="4" t="s">
        <v>291</v>
      </c>
      <c r="C19" s="4" t="s">
        <v>295</v>
      </c>
      <c r="D19" s="49">
        <v>0.5</v>
      </c>
      <c r="E19" s="12">
        <v>207</v>
      </c>
      <c r="G19" s="12" t="s">
        <v>304</v>
      </c>
    </row>
    <row r="20" spans="1:7" x14ac:dyDescent="0.2">
      <c r="A20" s="4">
        <v>8</v>
      </c>
      <c r="B20" s="4" t="s">
        <v>291</v>
      </c>
      <c r="C20" s="4" t="s">
        <v>295</v>
      </c>
      <c r="D20" s="50" t="s">
        <v>297</v>
      </c>
      <c r="E20" s="12">
        <v>239</v>
      </c>
      <c r="G20" s="12" t="s">
        <v>305</v>
      </c>
    </row>
    <row r="21" spans="1:7" x14ac:dyDescent="0.2">
      <c r="A21" s="4">
        <v>9</v>
      </c>
      <c r="B21" s="4" t="s">
        <v>291</v>
      </c>
      <c r="C21" s="4" t="s">
        <v>295</v>
      </c>
      <c r="D21" s="50" t="s">
        <v>297</v>
      </c>
      <c r="E21" s="12">
        <v>239</v>
      </c>
      <c r="G21" s="4" t="s">
        <v>180</v>
      </c>
    </row>
    <row r="22" spans="1:7" x14ac:dyDescent="0.2">
      <c r="A22" s="4">
        <v>10</v>
      </c>
      <c r="B22" s="4" t="s">
        <v>291</v>
      </c>
      <c r="C22" s="4" t="s">
        <v>295</v>
      </c>
      <c r="D22" s="50" t="s">
        <v>297</v>
      </c>
      <c r="E22" s="12">
        <v>243</v>
      </c>
      <c r="G22" s="12" t="s">
        <v>306</v>
      </c>
    </row>
    <row r="23" spans="1:7" x14ac:dyDescent="0.2">
      <c r="D23" s="50"/>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3984C-F389-D340-A7C1-7AD38C55C9EF}">
  <dimension ref="A1:N38"/>
  <sheetViews>
    <sheetView workbookViewId="0">
      <selection activeCell="E2" sqref="E2"/>
    </sheetView>
  </sheetViews>
  <sheetFormatPr baseColWidth="10" defaultRowHeight="16" x14ac:dyDescent="0.2"/>
  <cols>
    <col min="1" max="1" width="10.83203125" style="4"/>
    <col min="2" max="2" width="41" style="4" customWidth="1"/>
    <col min="3" max="3" width="20.1640625" style="4" customWidth="1"/>
    <col min="4" max="16384" width="10.83203125" style="4"/>
  </cols>
  <sheetData>
    <row r="1" spans="1:14" x14ac:dyDescent="0.2">
      <c r="A1" s="4" t="s">
        <v>307</v>
      </c>
    </row>
    <row r="2" spans="1:14" ht="34" x14ac:dyDescent="0.2">
      <c r="A2" s="25" t="s">
        <v>149</v>
      </c>
      <c r="B2" s="29" t="s">
        <v>262</v>
      </c>
      <c r="C2" s="29" t="s">
        <v>308</v>
      </c>
      <c r="D2" s="29" t="s">
        <v>292</v>
      </c>
      <c r="E2" s="29" t="s">
        <v>155</v>
      </c>
      <c r="G2" s="25" t="s">
        <v>293</v>
      </c>
    </row>
    <row r="3" spans="1:14" x14ac:dyDescent="0.2">
      <c r="A3" s="25">
        <v>1</v>
      </c>
      <c r="B3" s="12" t="s">
        <v>45</v>
      </c>
      <c r="C3" s="4" t="s">
        <v>309</v>
      </c>
      <c r="D3" s="51" t="s">
        <v>312</v>
      </c>
      <c r="E3" s="12">
        <v>279</v>
      </c>
      <c r="G3" s="1" t="s">
        <v>315</v>
      </c>
    </row>
    <row r="4" spans="1:14" x14ac:dyDescent="0.2">
      <c r="A4" s="25">
        <v>2</v>
      </c>
      <c r="B4" s="12" t="s">
        <v>45</v>
      </c>
      <c r="C4" s="4" t="s">
        <v>309</v>
      </c>
      <c r="D4" s="51" t="s">
        <v>312</v>
      </c>
      <c r="E4" s="12">
        <v>230</v>
      </c>
      <c r="G4" s="1" t="s">
        <v>314</v>
      </c>
    </row>
    <row r="5" spans="1:14" x14ac:dyDescent="0.2">
      <c r="A5" s="25">
        <v>3</v>
      </c>
      <c r="B5" s="12" t="s">
        <v>45</v>
      </c>
      <c r="C5" s="4" t="s">
        <v>309</v>
      </c>
      <c r="D5" s="51" t="s">
        <v>287</v>
      </c>
      <c r="E5" s="12">
        <v>226</v>
      </c>
      <c r="G5"/>
    </row>
    <row r="6" spans="1:14" x14ac:dyDescent="0.2">
      <c r="A6" s="25">
        <v>4</v>
      </c>
      <c r="B6" s="12" t="s">
        <v>46</v>
      </c>
      <c r="C6" s="4" t="s">
        <v>309</v>
      </c>
      <c r="D6" s="51" t="s">
        <v>312</v>
      </c>
      <c r="E6" s="12">
        <v>251</v>
      </c>
      <c r="G6" s="1" t="s">
        <v>316</v>
      </c>
    </row>
    <row r="7" spans="1:14" x14ac:dyDescent="0.2">
      <c r="A7" s="25">
        <v>5</v>
      </c>
      <c r="B7" s="12" t="s">
        <v>46</v>
      </c>
      <c r="C7" s="4" t="s">
        <v>309</v>
      </c>
      <c r="D7" s="51" t="s">
        <v>313</v>
      </c>
      <c r="E7" s="12">
        <v>288</v>
      </c>
      <c r="G7" s="1" t="s">
        <v>317</v>
      </c>
    </row>
    <row r="8" spans="1:14" x14ac:dyDescent="0.2">
      <c r="A8" s="25">
        <v>6</v>
      </c>
      <c r="B8" s="12" t="s">
        <v>46</v>
      </c>
      <c r="C8" s="4" t="s">
        <v>309</v>
      </c>
      <c r="D8" s="51" t="s">
        <v>312</v>
      </c>
      <c r="E8" s="12">
        <v>275</v>
      </c>
    </row>
    <row r="9" spans="1:14" x14ac:dyDescent="0.2">
      <c r="A9" s="25">
        <v>7</v>
      </c>
      <c r="B9" s="12" t="s">
        <v>47</v>
      </c>
      <c r="C9" s="4" t="s">
        <v>309</v>
      </c>
      <c r="D9" s="51" t="s">
        <v>313</v>
      </c>
      <c r="E9" s="12">
        <v>209</v>
      </c>
    </row>
    <row r="10" spans="1:14" x14ac:dyDescent="0.2">
      <c r="A10" s="25">
        <v>8</v>
      </c>
      <c r="B10" s="12" t="s">
        <v>47</v>
      </c>
      <c r="C10" s="4" t="s">
        <v>309</v>
      </c>
      <c r="D10" s="51" t="s">
        <v>313</v>
      </c>
      <c r="E10" s="12">
        <v>264</v>
      </c>
    </row>
    <row r="11" spans="1:14" x14ac:dyDescent="0.2">
      <c r="A11" s="25">
        <v>9</v>
      </c>
      <c r="B11" s="12" t="s">
        <v>47</v>
      </c>
      <c r="C11" s="4" t="s">
        <v>309</v>
      </c>
      <c r="D11" s="51" t="s">
        <v>313</v>
      </c>
      <c r="E11" s="12">
        <v>220</v>
      </c>
    </row>
    <row r="12" spans="1:14" x14ac:dyDescent="0.2">
      <c r="A12" s="25">
        <v>10</v>
      </c>
      <c r="B12" s="12" t="s">
        <v>48</v>
      </c>
      <c r="C12" s="4" t="s">
        <v>309</v>
      </c>
      <c r="D12" s="12">
        <v>0</v>
      </c>
      <c r="E12" s="12">
        <v>166</v>
      </c>
      <c r="L12" s="52"/>
    </row>
    <row r="13" spans="1:14" x14ac:dyDescent="0.2">
      <c r="A13" s="25">
        <v>11</v>
      </c>
      <c r="B13" s="12" t="s">
        <v>48</v>
      </c>
      <c r="C13" s="4" t="s">
        <v>309</v>
      </c>
      <c r="D13" s="12">
        <v>0</v>
      </c>
      <c r="E13" s="12">
        <v>179</v>
      </c>
      <c r="L13" s="52"/>
    </row>
    <row r="14" spans="1:14" x14ac:dyDescent="0.2">
      <c r="A14" s="25">
        <v>12</v>
      </c>
      <c r="B14" s="12" t="s">
        <v>48</v>
      </c>
      <c r="C14" s="4" t="s">
        <v>309</v>
      </c>
      <c r="D14" s="12">
        <v>0</v>
      </c>
      <c r="E14" s="12">
        <v>195</v>
      </c>
      <c r="L14" s="52"/>
    </row>
    <row r="15" spans="1:14" x14ac:dyDescent="0.2">
      <c r="A15" s="25">
        <v>1</v>
      </c>
      <c r="B15" s="12" t="s">
        <v>45</v>
      </c>
      <c r="C15" s="4" t="s">
        <v>310</v>
      </c>
      <c r="D15" s="51" t="s">
        <v>287</v>
      </c>
      <c r="E15" s="4">
        <v>259</v>
      </c>
      <c r="L15" s="52"/>
      <c r="N15" s="53"/>
    </row>
    <row r="16" spans="1:14" x14ac:dyDescent="0.2">
      <c r="A16" s="25">
        <v>2</v>
      </c>
      <c r="B16" s="12" t="s">
        <v>45</v>
      </c>
      <c r="C16" s="4" t="s">
        <v>310</v>
      </c>
      <c r="D16" s="51" t="s">
        <v>287</v>
      </c>
      <c r="E16" s="4">
        <v>255</v>
      </c>
      <c r="L16" s="52"/>
      <c r="N16" s="53"/>
    </row>
    <row r="17" spans="1:14" x14ac:dyDescent="0.2">
      <c r="A17" s="25">
        <v>3</v>
      </c>
      <c r="B17" s="12" t="s">
        <v>45</v>
      </c>
      <c r="C17" s="4" t="s">
        <v>310</v>
      </c>
      <c r="D17" s="51" t="s">
        <v>286</v>
      </c>
      <c r="E17" s="4">
        <v>227</v>
      </c>
      <c r="L17" s="52"/>
      <c r="N17" s="53"/>
    </row>
    <row r="18" spans="1:14" x14ac:dyDescent="0.2">
      <c r="A18" s="25">
        <v>4</v>
      </c>
      <c r="B18" s="12" t="s">
        <v>46</v>
      </c>
      <c r="C18" s="4" t="s">
        <v>310</v>
      </c>
      <c r="D18" s="51" t="s">
        <v>286</v>
      </c>
      <c r="E18" s="4">
        <v>421</v>
      </c>
      <c r="L18" s="52"/>
      <c r="N18" s="53"/>
    </row>
    <row r="19" spans="1:14" x14ac:dyDescent="0.2">
      <c r="A19" s="25">
        <v>5</v>
      </c>
      <c r="B19" s="12" t="s">
        <v>46</v>
      </c>
      <c r="C19" s="4" t="s">
        <v>310</v>
      </c>
      <c r="D19" s="51" t="s">
        <v>286</v>
      </c>
      <c r="E19" s="4">
        <v>335</v>
      </c>
      <c r="G19" s="1" t="s">
        <v>320</v>
      </c>
      <c r="L19" s="52"/>
      <c r="N19" s="53"/>
    </row>
    <row r="20" spans="1:14" x14ac:dyDescent="0.2">
      <c r="A20" s="25">
        <v>6</v>
      </c>
      <c r="B20" s="12" t="s">
        <v>46</v>
      </c>
      <c r="C20" s="4" t="s">
        <v>310</v>
      </c>
      <c r="D20" s="51" t="s">
        <v>286</v>
      </c>
      <c r="E20" s="4">
        <v>539</v>
      </c>
      <c r="G20" s="1" t="s">
        <v>318</v>
      </c>
      <c r="L20" s="52"/>
      <c r="N20" s="53"/>
    </row>
    <row r="21" spans="1:14" x14ac:dyDescent="0.2">
      <c r="A21" s="25">
        <v>7</v>
      </c>
      <c r="B21" s="12" t="s">
        <v>47</v>
      </c>
      <c r="C21" s="4" t="s">
        <v>310</v>
      </c>
      <c r="D21" s="51" t="s">
        <v>286</v>
      </c>
      <c r="E21" s="4">
        <v>440</v>
      </c>
      <c r="N21" s="53"/>
    </row>
    <row r="22" spans="1:14" x14ac:dyDescent="0.2">
      <c r="A22" s="25">
        <v>8</v>
      </c>
      <c r="B22" s="12" t="s">
        <v>47</v>
      </c>
      <c r="C22" s="4" t="s">
        <v>310</v>
      </c>
      <c r="D22" s="51" t="s">
        <v>286</v>
      </c>
      <c r="E22" s="4">
        <v>428</v>
      </c>
      <c r="N22" s="53"/>
    </row>
    <row r="23" spans="1:14" x14ac:dyDescent="0.2">
      <c r="A23" s="25">
        <v>9</v>
      </c>
      <c r="B23" s="12" t="s">
        <v>47</v>
      </c>
      <c r="C23" s="4" t="s">
        <v>310</v>
      </c>
      <c r="D23" s="51" t="s">
        <v>286</v>
      </c>
      <c r="E23" s="4">
        <v>398</v>
      </c>
      <c r="N23" s="53"/>
    </row>
    <row r="24" spans="1:14" x14ac:dyDescent="0.2">
      <c r="A24" s="25">
        <v>10</v>
      </c>
      <c r="B24" s="12" t="s">
        <v>48</v>
      </c>
      <c r="C24" s="4" t="s">
        <v>310</v>
      </c>
      <c r="D24" s="4">
        <v>1</v>
      </c>
      <c r="E24" s="4">
        <v>641</v>
      </c>
    </row>
    <row r="25" spans="1:14" x14ac:dyDescent="0.2">
      <c r="A25" s="25">
        <v>11</v>
      </c>
      <c r="B25" s="12" t="s">
        <v>48</v>
      </c>
      <c r="C25" s="4" t="s">
        <v>310</v>
      </c>
      <c r="D25" s="4">
        <v>1</v>
      </c>
      <c r="E25" s="4">
        <v>470</v>
      </c>
    </row>
    <row r="26" spans="1:14" x14ac:dyDescent="0.2">
      <c r="A26" s="25">
        <v>12</v>
      </c>
      <c r="B26" s="12" t="s">
        <v>48</v>
      </c>
      <c r="C26" s="4" t="s">
        <v>310</v>
      </c>
      <c r="D26" s="4">
        <v>1</v>
      </c>
      <c r="E26" s="4">
        <v>488</v>
      </c>
    </row>
    <row r="27" spans="1:14" x14ac:dyDescent="0.2">
      <c r="A27" s="25">
        <v>1</v>
      </c>
      <c r="B27" s="12" t="s">
        <v>45</v>
      </c>
      <c r="C27" s="4" t="s">
        <v>311</v>
      </c>
      <c r="D27" s="51" t="s">
        <v>287</v>
      </c>
      <c r="E27" s="4">
        <v>371</v>
      </c>
    </row>
    <row r="28" spans="1:14" x14ac:dyDescent="0.2">
      <c r="A28" s="25">
        <v>2</v>
      </c>
      <c r="B28" s="12" t="s">
        <v>45</v>
      </c>
      <c r="C28" s="4" t="s">
        <v>311</v>
      </c>
      <c r="D28" s="51" t="s">
        <v>287</v>
      </c>
      <c r="E28" s="4">
        <v>320</v>
      </c>
    </row>
    <row r="29" spans="1:14" x14ac:dyDescent="0.2">
      <c r="A29" s="25">
        <v>3</v>
      </c>
      <c r="B29" s="12" t="s">
        <v>45</v>
      </c>
      <c r="C29" s="4" t="s">
        <v>311</v>
      </c>
      <c r="D29" s="51" t="s">
        <v>286</v>
      </c>
      <c r="E29" s="4">
        <v>407</v>
      </c>
    </row>
    <row r="30" spans="1:14" x14ac:dyDescent="0.2">
      <c r="A30" s="25">
        <v>4</v>
      </c>
      <c r="B30" s="12" t="s">
        <v>46</v>
      </c>
      <c r="C30" s="4" t="s">
        <v>311</v>
      </c>
      <c r="D30" s="51" t="s">
        <v>286</v>
      </c>
      <c r="E30" s="4">
        <v>367</v>
      </c>
      <c r="G30" s="1" t="s">
        <v>319</v>
      </c>
    </row>
    <row r="31" spans="1:14" x14ac:dyDescent="0.2">
      <c r="A31" s="25">
        <v>5</v>
      </c>
      <c r="B31" s="12" t="s">
        <v>46</v>
      </c>
      <c r="C31" s="4" t="s">
        <v>311</v>
      </c>
      <c r="D31" s="51" t="s">
        <v>286</v>
      </c>
      <c r="E31" s="4">
        <v>338</v>
      </c>
      <c r="G31"/>
    </row>
    <row r="32" spans="1:14" x14ac:dyDescent="0.2">
      <c r="A32" s="25">
        <v>6</v>
      </c>
      <c r="B32" s="12" t="s">
        <v>46</v>
      </c>
      <c r="C32" s="4" t="s">
        <v>311</v>
      </c>
      <c r="D32" s="51" t="s">
        <v>286</v>
      </c>
      <c r="E32" s="4">
        <v>346</v>
      </c>
      <c r="G32" s="1" t="s">
        <v>320</v>
      </c>
    </row>
    <row r="33" spans="1:5" x14ac:dyDescent="0.2">
      <c r="A33" s="25">
        <v>7</v>
      </c>
      <c r="B33" s="12" t="s">
        <v>47</v>
      </c>
      <c r="C33" s="4" t="s">
        <v>311</v>
      </c>
      <c r="D33" s="51" t="s">
        <v>286</v>
      </c>
      <c r="E33" s="4">
        <v>503</v>
      </c>
    </row>
    <row r="34" spans="1:5" x14ac:dyDescent="0.2">
      <c r="A34" s="25">
        <v>8</v>
      </c>
      <c r="B34" s="12" t="s">
        <v>47</v>
      </c>
      <c r="C34" s="4" t="s">
        <v>311</v>
      </c>
      <c r="D34" s="51" t="s">
        <v>286</v>
      </c>
      <c r="E34" s="4">
        <v>513</v>
      </c>
    </row>
    <row r="35" spans="1:5" x14ac:dyDescent="0.2">
      <c r="A35" s="25">
        <v>9</v>
      </c>
      <c r="B35" s="12" t="s">
        <v>47</v>
      </c>
      <c r="C35" s="4" t="s">
        <v>311</v>
      </c>
      <c r="D35" s="51" t="s">
        <v>286</v>
      </c>
      <c r="E35" s="4">
        <v>487</v>
      </c>
    </row>
    <row r="36" spans="1:5" x14ac:dyDescent="0.2">
      <c r="A36" s="25">
        <v>10</v>
      </c>
      <c r="B36" s="12" t="s">
        <v>48</v>
      </c>
      <c r="C36" s="4" t="s">
        <v>311</v>
      </c>
      <c r="D36" s="4">
        <v>1</v>
      </c>
      <c r="E36" s="4">
        <v>296.5</v>
      </c>
    </row>
    <row r="37" spans="1:5" x14ac:dyDescent="0.2">
      <c r="A37" s="25">
        <v>11</v>
      </c>
      <c r="B37" s="12" t="s">
        <v>48</v>
      </c>
      <c r="C37" s="4" t="s">
        <v>311</v>
      </c>
      <c r="D37" s="4">
        <v>1</v>
      </c>
      <c r="E37" s="4">
        <v>350</v>
      </c>
    </row>
    <row r="38" spans="1:5" x14ac:dyDescent="0.2">
      <c r="A38" s="25">
        <v>12</v>
      </c>
      <c r="B38" s="12" t="s">
        <v>48</v>
      </c>
      <c r="C38" s="4" t="s">
        <v>311</v>
      </c>
      <c r="D38" s="4">
        <v>1</v>
      </c>
      <c r="E38" s="4">
        <v>363</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79A8-EEE6-4F40-86DA-B6F9B413FE66}">
  <dimension ref="A1:F8"/>
  <sheetViews>
    <sheetView workbookViewId="0">
      <selection activeCell="A2" sqref="A2:D2"/>
    </sheetView>
  </sheetViews>
  <sheetFormatPr baseColWidth="10" defaultRowHeight="16" x14ac:dyDescent="0.2"/>
  <cols>
    <col min="1" max="1" width="10.83203125" style="4"/>
    <col min="2" max="2" width="15.33203125" style="4" customWidth="1"/>
    <col min="3" max="3" width="19.1640625" style="4" customWidth="1"/>
    <col min="4" max="16384" width="10.83203125" style="4"/>
  </cols>
  <sheetData>
    <row r="1" spans="1:6" x14ac:dyDescent="0.2">
      <c r="A1" s="4" t="s">
        <v>321</v>
      </c>
    </row>
    <row r="2" spans="1:6" ht="34" x14ac:dyDescent="0.2">
      <c r="A2" s="25" t="s">
        <v>149</v>
      </c>
      <c r="B2" s="25" t="s">
        <v>262</v>
      </c>
      <c r="C2" s="29" t="s">
        <v>323</v>
      </c>
      <c r="D2" s="29" t="s">
        <v>324</v>
      </c>
      <c r="E2" s="29"/>
      <c r="F2" s="25"/>
    </row>
    <row r="3" spans="1:6" x14ac:dyDescent="0.2">
      <c r="A3" s="13">
        <v>1</v>
      </c>
      <c r="B3" s="4" t="s">
        <v>325</v>
      </c>
      <c r="C3" s="4" t="s">
        <v>328</v>
      </c>
      <c r="D3" s="4">
        <v>0.27</v>
      </c>
    </row>
    <row r="4" spans="1:6" x14ac:dyDescent="0.2">
      <c r="A4" s="13">
        <v>2</v>
      </c>
      <c r="B4" s="4" t="s">
        <v>326</v>
      </c>
      <c r="C4" s="4" t="s">
        <v>328</v>
      </c>
      <c r="D4" s="4">
        <v>0.13</v>
      </c>
    </row>
    <row r="5" spans="1:6" x14ac:dyDescent="0.2">
      <c r="A5" s="13">
        <v>3</v>
      </c>
      <c r="B5" s="4" t="s">
        <v>327</v>
      </c>
      <c r="C5" s="4" t="s">
        <v>328</v>
      </c>
      <c r="D5" s="4">
        <v>0.2</v>
      </c>
    </row>
    <row r="6" spans="1:6" x14ac:dyDescent="0.2">
      <c r="A6" s="13">
        <v>1</v>
      </c>
      <c r="B6" s="4" t="s">
        <v>325</v>
      </c>
      <c r="C6" s="4" t="s">
        <v>281</v>
      </c>
      <c r="D6" s="4">
        <v>0.93</v>
      </c>
    </row>
    <row r="7" spans="1:6" x14ac:dyDescent="0.2">
      <c r="A7" s="13">
        <v>2</v>
      </c>
      <c r="B7" s="4" t="s">
        <v>326</v>
      </c>
      <c r="C7" s="4" t="s">
        <v>281</v>
      </c>
      <c r="D7" s="4">
        <v>0.75</v>
      </c>
    </row>
    <row r="8" spans="1:6" x14ac:dyDescent="0.2">
      <c r="A8" s="13">
        <v>3</v>
      </c>
      <c r="B8" s="4" t="s">
        <v>327</v>
      </c>
      <c r="C8" s="4" t="s">
        <v>281</v>
      </c>
      <c r="D8" s="4">
        <v>1</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AD916-405B-684E-AA94-B02FA79F2040}">
  <dimension ref="A1:E8"/>
  <sheetViews>
    <sheetView workbookViewId="0">
      <selection activeCell="B11" sqref="B11"/>
    </sheetView>
  </sheetViews>
  <sheetFormatPr baseColWidth="10" defaultRowHeight="13" x14ac:dyDescent="0.15"/>
  <cols>
    <col min="2" max="2" width="21.83203125" customWidth="1"/>
  </cols>
  <sheetData>
    <row r="1" spans="1:5" x14ac:dyDescent="0.15">
      <c r="A1" s="3" t="s">
        <v>322</v>
      </c>
    </row>
    <row r="2" spans="1:5" ht="34" x14ac:dyDescent="0.15">
      <c r="A2" s="25" t="s">
        <v>149</v>
      </c>
      <c r="B2" s="29" t="s">
        <v>262</v>
      </c>
      <c r="C2" s="29" t="s">
        <v>323</v>
      </c>
      <c r="D2" s="29" t="s">
        <v>324</v>
      </c>
      <c r="E2" s="29" t="s">
        <v>155</v>
      </c>
    </row>
    <row r="3" spans="1:5" x14ac:dyDescent="0.15">
      <c r="A3" s="44">
        <v>1</v>
      </c>
      <c r="B3" s="3" t="s">
        <v>329</v>
      </c>
      <c r="C3" s="3" t="s">
        <v>330</v>
      </c>
      <c r="D3">
        <v>0.33</v>
      </c>
      <c r="E3">
        <v>132</v>
      </c>
    </row>
    <row r="4" spans="1:5" x14ac:dyDescent="0.15">
      <c r="A4" s="44">
        <v>2</v>
      </c>
      <c r="B4" s="3" t="s">
        <v>329</v>
      </c>
      <c r="C4" s="3" t="s">
        <v>330</v>
      </c>
      <c r="D4">
        <v>0.33</v>
      </c>
      <c r="E4">
        <v>111</v>
      </c>
    </row>
    <row r="5" spans="1:5" x14ac:dyDescent="0.15">
      <c r="A5" s="44">
        <v>3</v>
      </c>
      <c r="B5" s="3" t="s">
        <v>329</v>
      </c>
      <c r="C5" s="3" t="s">
        <v>330</v>
      </c>
      <c r="D5">
        <v>0.66</v>
      </c>
      <c r="E5">
        <v>108</v>
      </c>
    </row>
    <row r="6" spans="1:5" x14ac:dyDescent="0.15">
      <c r="A6" s="44">
        <v>1</v>
      </c>
      <c r="B6" s="3" t="s">
        <v>329</v>
      </c>
      <c r="C6" s="3" t="s">
        <v>282</v>
      </c>
      <c r="D6">
        <v>1</v>
      </c>
      <c r="E6">
        <v>239</v>
      </c>
    </row>
    <row r="7" spans="1:5" x14ac:dyDescent="0.15">
      <c r="A7" s="44">
        <v>2</v>
      </c>
      <c r="B7" s="3" t="s">
        <v>329</v>
      </c>
      <c r="C7" s="3" t="s">
        <v>282</v>
      </c>
      <c r="D7">
        <v>1</v>
      </c>
      <c r="E7">
        <v>332</v>
      </c>
    </row>
    <row r="8" spans="1:5" x14ac:dyDescent="0.15">
      <c r="A8" s="44">
        <v>3</v>
      </c>
      <c r="B8" s="3" t="s">
        <v>329</v>
      </c>
      <c r="C8" s="3" t="s">
        <v>282</v>
      </c>
      <c r="D8">
        <v>1</v>
      </c>
      <c r="E8">
        <v>296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Fig. 2</vt:lpstr>
      <vt:lpstr>Fig. 3</vt:lpstr>
      <vt:lpstr>Table. 1</vt:lpstr>
      <vt:lpstr>Fig. 4a</vt:lpstr>
      <vt:lpstr>Fig. 4b</vt:lpstr>
      <vt:lpstr>Fig. 4c</vt:lpstr>
      <vt:lpstr>Fig. 5a</vt:lpstr>
      <vt:lpstr>Fig. 5b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Pengyuan Guo</cp:lastModifiedBy>
  <dcterms:modified xsi:type="dcterms:W3CDTF">2026-10-13T18:33:01Z</dcterms:modified>
</cp:coreProperties>
</file>